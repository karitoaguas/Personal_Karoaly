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drawingml.chart+xml" PartName="/xl/charts/chart1.xml"/>
  <Override ContentType="application/vnd.ms-office.chartcolorstyle+xml" PartName="/xl/charts/colors1.xml"/>
  <Override ContentType="application/vnd.ms-office.chartstyle+xml" PartName="/xl/charts/style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drawing+xml" PartName="/xl/drawings/drawing1.xml"/>
  <Override ContentType="application/vnd.openxmlformats-officedocument.drawingml.chartshapes+xml" PartName="/xl/drawings/drawing2.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730"/>
  <workbookPr/>
  <mc:AlternateContent xmlns:mc="http://schemas.openxmlformats.org/markup-compatibility/2006">
    <mc:Choice Requires="x15">
      <x15ac:absPath xmlns:x15ac="http://schemas.microsoft.com/office/spreadsheetml/2010/11/ac" url="C:\Users\icete\OneDrive\Escritorio\ICETEX\2025\MAYO 2025\Transacciones 25 abr a 24 mayo 2025\"/>
    </mc:Choice>
  </mc:AlternateContent>
  <xr:revisionPtr revIDLastSave="0" documentId="13_ncr:1_{FA43E57B-1FEC-4F71-A880-F6CB07ADDCE9}" xr6:coauthVersionLast="47" xr6:coauthVersionMax="47" xr10:uidLastSave="{00000000-0000-0000-0000-000000000000}"/>
  <bookViews>
    <workbookView xWindow="-110" yWindow="-110" windowWidth="19420" windowHeight="10300" xr2:uid="{00000000-000D-0000-FFFF-FFFF00000000}"/>
  </bookViews>
  <sheets>
    <sheet name="Resumen" sheetId="1" r:id="rId1"/>
    <sheet name="Valores Mensuales" sheetId="6" r:id="rId2"/>
    <sheet name="Amortizacion" sheetId="2" state="hidden" r:id="rId3"/>
    <sheet name="Graf" sheetId="3" state="hidden" r:id="rId4"/>
  </sheets>
  <definedNames>
    <definedName name="_xlnm.Print_Area" localSheetId="0">Resumen!$A$1:$AS$53</definedName>
    <definedName name="Incmat">Resumen!$C$16</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4" i="1" l="1"/>
  <c r="C30" i="1"/>
  <c r="C32" i="1" s="1"/>
  <c r="C28" i="1"/>
  <c r="C16" i="1"/>
  <c r="C34" i="1" l="1"/>
  <c r="A3" i="6"/>
  <c r="A5" i="6"/>
  <c r="C36" i="1"/>
  <c r="C26" i="1"/>
  <c r="F3" i="1"/>
  <c r="AR3" i="1"/>
  <c r="C38" i="1" l="1"/>
  <c r="C2" i="2" l="1"/>
  <c r="A3" i="2" l="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A199" i="2" s="1"/>
  <c r="A200" i="2" s="1"/>
  <c r="A201" i="2" s="1"/>
  <c r="A202" i="2" s="1"/>
  <c r="A203" i="2" s="1"/>
  <c r="A204" i="2" s="1"/>
  <c r="A205" i="2" s="1"/>
  <c r="A206" i="2" s="1"/>
  <c r="A207" i="2" s="1"/>
  <c r="A208" i="2" s="1"/>
  <c r="A209" i="2" s="1"/>
  <c r="A210" i="2" l="1"/>
  <c r="G10" i="1"/>
  <c r="G8" i="1"/>
  <c r="G3" i="1" s="1"/>
  <c r="H6" i="1"/>
  <c r="J6" i="1" s="1"/>
  <c r="L6" i="1" s="1"/>
  <c r="N6" i="1" s="1"/>
  <c r="P6" i="1" s="1"/>
  <c r="R6" i="1" s="1"/>
  <c r="T6" i="1" s="1"/>
  <c r="V6" i="1" s="1"/>
  <c r="X6" i="1" s="1"/>
  <c r="Z6" i="1" s="1"/>
  <c r="AB6" i="1" s="1"/>
  <c r="AD6" i="1" s="1"/>
  <c r="AF6" i="1" s="1"/>
  <c r="AH6" i="1" s="1"/>
  <c r="AJ6" i="1" s="1"/>
  <c r="AL6" i="1" s="1"/>
  <c r="AN6" i="1" s="1"/>
  <c r="AP6" i="1" s="1"/>
  <c r="H8" i="1" l="1"/>
  <c r="H3" i="1" s="1"/>
  <c r="A211" i="2"/>
  <c r="H10" i="1"/>
  <c r="X2" i="2"/>
  <c r="I8" i="1" l="1"/>
  <c r="I3" i="1" s="1"/>
  <c r="I10" i="1"/>
  <c r="A212" i="2"/>
  <c r="E2" i="2"/>
  <c r="O2" i="2" s="1"/>
  <c r="E7" i="6" s="1"/>
  <c r="C40" i="1"/>
  <c r="G12" i="1"/>
  <c r="J8" i="1" l="1"/>
  <c r="J3" i="1" s="1"/>
  <c r="J10" i="1"/>
  <c r="B208" i="2"/>
  <c r="X208" i="2" s="1"/>
  <c r="H208" i="2" s="1"/>
  <c r="M208" i="2" s="1"/>
  <c r="B207" i="2"/>
  <c r="X207" i="2" s="1"/>
  <c r="H207" i="2" s="1"/>
  <c r="M207" i="2" s="1"/>
  <c r="B209" i="2"/>
  <c r="X209" i="2" s="1"/>
  <c r="H209" i="2" s="1"/>
  <c r="M209" i="2" s="1"/>
  <c r="B210" i="2"/>
  <c r="X210" i="2" s="1"/>
  <c r="H210" i="2" s="1"/>
  <c r="M210" i="2" s="1"/>
  <c r="B211" i="2"/>
  <c r="X211" i="2" s="1"/>
  <c r="H211" i="2" s="1"/>
  <c r="M211" i="2" s="1"/>
  <c r="B212" i="2"/>
  <c r="X212" i="2" s="1"/>
  <c r="H212" i="2" s="1"/>
  <c r="A213" i="2"/>
  <c r="F14" i="1"/>
  <c r="B206" i="2"/>
  <c r="B202" i="2"/>
  <c r="B198" i="2"/>
  <c r="B194" i="2"/>
  <c r="E194" i="2" s="1"/>
  <c r="O194" i="2" s="1"/>
  <c r="B190" i="2"/>
  <c r="E190" i="2" s="1"/>
  <c r="O190" i="2" s="1"/>
  <c r="E195" i="6" s="1"/>
  <c r="B186" i="2"/>
  <c r="E186" i="2" s="1"/>
  <c r="O186" i="2" s="1"/>
  <c r="E191" i="6" s="1"/>
  <c r="B182" i="2"/>
  <c r="E182" i="2" s="1"/>
  <c r="O182" i="2" s="1"/>
  <c r="E187" i="6" s="1"/>
  <c r="B178" i="2"/>
  <c r="E178" i="2" s="1"/>
  <c r="O178" i="2" s="1"/>
  <c r="E183" i="6" s="1"/>
  <c r="B174" i="2"/>
  <c r="E174" i="2" s="1"/>
  <c r="O174" i="2" s="1"/>
  <c r="E179" i="6" s="1"/>
  <c r="B170" i="2"/>
  <c r="E170" i="2" s="1"/>
  <c r="O170" i="2" s="1"/>
  <c r="E175" i="6" s="1"/>
  <c r="B166" i="2"/>
  <c r="E166" i="2" s="1"/>
  <c r="O166" i="2" s="1"/>
  <c r="E171" i="6" s="1"/>
  <c r="B162" i="2"/>
  <c r="E162" i="2" s="1"/>
  <c r="O162" i="2" s="1"/>
  <c r="E167" i="6" s="1"/>
  <c r="B158" i="2"/>
  <c r="E158" i="2" s="1"/>
  <c r="O158" i="2" s="1"/>
  <c r="E163" i="6" s="1"/>
  <c r="B154" i="2"/>
  <c r="E154" i="2" s="1"/>
  <c r="O154" i="2" s="1"/>
  <c r="E159" i="6" s="1"/>
  <c r="B150" i="2"/>
  <c r="E150" i="2" s="1"/>
  <c r="O150" i="2" s="1"/>
  <c r="E155" i="6" s="1"/>
  <c r="B146" i="2"/>
  <c r="E146" i="2" s="1"/>
  <c r="O146" i="2" s="1"/>
  <c r="E151" i="6" s="1"/>
  <c r="B142" i="2"/>
  <c r="E142" i="2" s="1"/>
  <c r="O142" i="2" s="1"/>
  <c r="E147" i="6" s="1"/>
  <c r="B138" i="2"/>
  <c r="E138" i="2" s="1"/>
  <c r="O138" i="2" s="1"/>
  <c r="E143" i="6" s="1"/>
  <c r="B134" i="2"/>
  <c r="E134" i="2" s="1"/>
  <c r="O134" i="2" s="1"/>
  <c r="E139" i="6" s="1"/>
  <c r="B130" i="2"/>
  <c r="E130" i="2" s="1"/>
  <c r="O130" i="2" s="1"/>
  <c r="E135" i="6" s="1"/>
  <c r="B126" i="2"/>
  <c r="E126" i="2" s="1"/>
  <c r="O126" i="2" s="1"/>
  <c r="E131" i="6" s="1"/>
  <c r="B122" i="2"/>
  <c r="E122" i="2" s="1"/>
  <c r="O122" i="2" s="1"/>
  <c r="E127" i="6" s="1"/>
  <c r="B118" i="2"/>
  <c r="E118" i="2" s="1"/>
  <c r="O118" i="2" s="1"/>
  <c r="E123" i="6" s="1"/>
  <c r="B114" i="2"/>
  <c r="E114" i="2" s="1"/>
  <c r="O114" i="2" s="1"/>
  <c r="E119" i="6" s="1"/>
  <c r="B110" i="2"/>
  <c r="E110" i="2" s="1"/>
  <c r="O110" i="2" s="1"/>
  <c r="E115" i="6" s="1"/>
  <c r="B106" i="2"/>
  <c r="E106" i="2" s="1"/>
  <c r="O106" i="2" s="1"/>
  <c r="E111" i="6" s="1"/>
  <c r="B102" i="2"/>
  <c r="E102" i="2" s="1"/>
  <c r="O102" i="2" s="1"/>
  <c r="E107" i="6" s="1"/>
  <c r="B98" i="2"/>
  <c r="E98" i="2" s="1"/>
  <c r="O98" i="2" s="1"/>
  <c r="E103" i="6" s="1"/>
  <c r="B94" i="2"/>
  <c r="E94" i="2" s="1"/>
  <c r="O94" i="2" s="1"/>
  <c r="E99" i="6" s="1"/>
  <c r="B90" i="2"/>
  <c r="E90" i="2" s="1"/>
  <c r="O90" i="2" s="1"/>
  <c r="E95" i="6" s="1"/>
  <c r="B86" i="2"/>
  <c r="E86" i="2" s="1"/>
  <c r="O86" i="2" s="1"/>
  <c r="E91" i="6" s="1"/>
  <c r="B82" i="2"/>
  <c r="E82" i="2" s="1"/>
  <c r="O82" i="2" s="1"/>
  <c r="E87" i="6" s="1"/>
  <c r="B78" i="2"/>
  <c r="E78" i="2" s="1"/>
  <c r="O78" i="2" s="1"/>
  <c r="E83" i="6" s="1"/>
  <c r="B74" i="2"/>
  <c r="E74" i="2" s="1"/>
  <c r="O74" i="2" s="1"/>
  <c r="E79" i="6" s="1"/>
  <c r="B70" i="2"/>
  <c r="E70" i="2" s="1"/>
  <c r="O70" i="2" s="1"/>
  <c r="E75" i="6" s="1"/>
  <c r="B66" i="2"/>
  <c r="E66" i="2" s="1"/>
  <c r="O66" i="2" s="1"/>
  <c r="E71" i="6" s="1"/>
  <c r="B62" i="2"/>
  <c r="E62" i="2" s="1"/>
  <c r="O62" i="2" s="1"/>
  <c r="E67" i="6" s="1"/>
  <c r="B58" i="2"/>
  <c r="E58" i="2" s="1"/>
  <c r="O58" i="2" s="1"/>
  <c r="E63" i="6" s="1"/>
  <c r="B54" i="2"/>
  <c r="E54" i="2" s="1"/>
  <c r="O54" i="2" s="1"/>
  <c r="E59" i="6" s="1"/>
  <c r="B50" i="2"/>
  <c r="E50" i="2" s="1"/>
  <c r="O50" i="2" s="1"/>
  <c r="E55" i="6" s="1"/>
  <c r="B46" i="2"/>
  <c r="E46" i="2" s="1"/>
  <c r="O46" i="2" s="1"/>
  <c r="E51" i="6" s="1"/>
  <c r="B42" i="2"/>
  <c r="E42" i="2" s="1"/>
  <c r="O42" i="2" s="1"/>
  <c r="E47" i="6" s="1"/>
  <c r="B38" i="2"/>
  <c r="E38" i="2" s="1"/>
  <c r="O38" i="2" s="1"/>
  <c r="E43" i="6" s="1"/>
  <c r="B34" i="2"/>
  <c r="E34" i="2" s="1"/>
  <c r="O34" i="2" s="1"/>
  <c r="E39" i="6" s="1"/>
  <c r="B30" i="2"/>
  <c r="E30" i="2" s="1"/>
  <c r="O30" i="2" s="1"/>
  <c r="E35" i="6" s="1"/>
  <c r="B26" i="2"/>
  <c r="E26" i="2" s="1"/>
  <c r="O26" i="2" s="1"/>
  <c r="E31" i="6" s="1"/>
  <c r="B22" i="2"/>
  <c r="E22" i="2" s="1"/>
  <c r="O22" i="2" s="1"/>
  <c r="E27" i="6" s="1"/>
  <c r="B18" i="2"/>
  <c r="E18" i="2" s="1"/>
  <c r="O18" i="2" s="1"/>
  <c r="E23" i="6" s="1"/>
  <c r="B14" i="2"/>
  <c r="E14" i="2" s="1"/>
  <c r="O14" i="2" s="1"/>
  <c r="E19" i="6" s="1"/>
  <c r="B10" i="2"/>
  <c r="B6" i="2"/>
  <c r="B205" i="2"/>
  <c r="B201" i="2"/>
  <c r="B197" i="2"/>
  <c r="B193" i="2"/>
  <c r="E193" i="2" s="1"/>
  <c r="O193" i="2" s="1"/>
  <c r="E198" i="6" s="1"/>
  <c r="B189" i="2"/>
  <c r="E189" i="2" s="1"/>
  <c r="O189" i="2" s="1"/>
  <c r="E194" i="6" s="1"/>
  <c r="B185" i="2"/>
  <c r="E185" i="2" s="1"/>
  <c r="O185" i="2" s="1"/>
  <c r="E190" i="6" s="1"/>
  <c r="B181" i="2"/>
  <c r="E181" i="2" s="1"/>
  <c r="O181" i="2" s="1"/>
  <c r="E186" i="6" s="1"/>
  <c r="B177" i="2"/>
  <c r="E177" i="2" s="1"/>
  <c r="O177" i="2" s="1"/>
  <c r="E182" i="6" s="1"/>
  <c r="B173" i="2"/>
  <c r="E173" i="2" s="1"/>
  <c r="O173" i="2" s="1"/>
  <c r="E178" i="6" s="1"/>
  <c r="B169" i="2"/>
  <c r="E169" i="2" s="1"/>
  <c r="O169" i="2" s="1"/>
  <c r="E174" i="6" s="1"/>
  <c r="B165" i="2"/>
  <c r="E165" i="2" s="1"/>
  <c r="O165" i="2" s="1"/>
  <c r="E170" i="6" s="1"/>
  <c r="B161" i="2"/>
  <c r="E161" i="2" s="1"/>
  <c r="O161" i="2" s="1"/>
  <c r="E166" i="6" s="1"/>
  <c r="B157" i="2"/>
  <c r="E157" i="2" s="1"/>
  <c r="O157" i="2" s="1"/>
  <c r="E162" i="6" s="1"/>
  <c r="B153" i="2"/>
  <c r="E153" i="2" s="1"/>
  <c r="O153" i="2" s="1"/>
  <c r="E158" i="6" s="1"/>
  <c r="B149" i="2"/>
  <c r="E149" i="2" s="1"/>
  <c r="O149" i="2" s="1"/>
  <c r="E154" i="6" s="1"/>
  <c r="B145" i="2"/>
  <c r="E145" i="2" s="1"/>
  <c r="O145" i="2" s="1"/>
  <c r="E150" i="6" s="1"/>
  <c r="B141" i="2"/>
  <c r="E141" i="2" s="1"/>
  <c r="O141" i="2" s="1"/>
  <c r="E146" i="6" s="1"/>
  <c r="B137" i="2"/>
  <c r="E137" i="2" s="1"/>
  <c r="O137" i="2" s="1"/>
  <c r="E142" i="6" s="1"/>
  <c r="B133" i="2"/>
  <c r="E133" i="2" s="1"/>
  <c r="O133" i="2" s="1"/>
  <c r="E138" i="6" s="1"/>
  <c r="B129" i="2"/>
  <c r="E129" i="2" s="1"/>
  <c r="O129" i="2" s="1"/>
  <c r="E134" i="6" s="1"/>
  <c r="B125" i="2"/>
  <c r="E125" i="2" s="1"/>
  <c r="O125" i="2" s="1"/>
  <c r="E130" i="6" s="1"/>
  <c r="B121" i="2"/>
  <c r="E121" i="2" s="1"/>
  <c r="O121" i="2" s="1"/>
  <c r="E126" i="6" s="1"/>
  <c r="B117" i="2"/>
  <c r="E117" i="2" s="1"/>
  <c r="O117" i="2" s="1"/>
  <c r="E122" i="6" s="1"/>
  <c r="B113" i="2"/>
  <c r="E113" i="2" s="1"/>
  <c r="O113" i="2" s="1"/>
  <c r="E118" i="6" s="1"/>
  <c r="B109" i="2"/>
  <c r="E109" i="2" s="1"/>
  <c r="O109" i="2" s="1"/>
  <c r="E114" i="6" s="1"/>
  <c r="B105" i="2"/>
  <c r="E105" i="2" s="1"/>
  <c r="O105" i="2" s="1"/>
  <c r="E110" i="6" s="1"/>
  <c r="B101" i="2"/>
  <c r="E101" i="2" s="1"/>
  <c r="O101" i="2" s="1"/>
  <c r="E106" i="6" s="1"/>
  <c r="B97" i="2"/>
  <c r="E97" i="2" s="1"/>
  <c r="O97" i="2" s="1"/>
  <c r="E102" i="6" s="1"/>
  <c r="B93" i="2"/>
  <c r="E93" i="2" s="1"/>
  <c r="O93" i="2" s="1"/>
  <c r="E98" i="6" s="1"/>
  <c r="B89" i="2"/>
  <c r="E89" i="2" s="1"/>
  <c r="O89" i="2" s="1"/>
  <c r="E94" i="6" s="1"/>
  <c r="B85" i="2"/>
  <c r="E85" i="2" s="1"/>
  <c r="O85" i="2" s="1"/>
  <c r="E90" i="6" s="1"/>
  <c r="B81" i="2"/>
  <c r="E81" i="2" s="1"/>
  <c r="O81" i="2" s="1"/>
  <c r="E86" i="6" s="1"/>
  <c r="B77" i="2"/>
  <c r="E77" i="2" s="1"/>
  <c r="O77" i="2" s="1"/>
  <c r="E82" i="6" s="1"/>
  <c r="B73" i="2"/>
  <c r="E73" i="2" s="1"/>
  <c r="B69" i="2"/>
  <c r="E69" i="2" s="1"/>
  <c r="O69" i="2" s="1"/>
  <c r="E74" i="6" s="1"/>
  <c r="B65" i="2"/>
  <c r="E65" i="2" s="1"/>
  <c r="O65" i="2" s="1"/>
  <c r="E70" i="6" s="1"/>
  <c r="B61" i="2"/>
  <c r="E61" i="2" s="1"/>
  <c r="B57" i="2"/>
  <c r="E57" i="2" s="1"/>
  <c r="O57" i="2" s="1"/>
  <c r="E62" i="6" s="1"/>
  <c r="B53" i="2"/>
  <c r="E53" i="2" s="1"/>
  <c r="O53" i="2" s="1"/>
  <c r="E58" i="6" s="1"/>
  <c r="B49" i="2"/>
  <c r="E49" i="2" s="1"/>
  <c r="B45" i="2"/>
  <c r="E45" i="2" s="1"/>
  <c r="O45" i="2" s="1"/>
  <c r="E50" i="6" s="1"/>
  <c r="B41" i="2"/>
  <c r="E41" i="2" s="1"/>
  <c r="O41" i="2" s="1"/>
  <c r="E46" i="6" s="1"/>
  <c r="B37" i="2"/>
  <c r="E37" i="2" s="1"/>
  <c r="O37" i="2" s="1"/>
  <c r="E42" i="6" s="1"/>
  <c r="B33" i="2"/>
  <c r="E33" i="2" s="1"/>
  <c r="O33" i="2" s="1"/>
  <c r="E38" i="6" s="1"/>
  <c r="B29" i="2"/>
  <c r="E29" i="2" s="1"/>
  <c r="O29" i="2" s="1"/>
  <c r="E34" i="6" s="1"/>
  <c r="B25" i="2"/>
  <c r="E25" i="2" s="1"/>
  <c r="O25" i="2" s="1"/>
  <c r="E30" i="6" s="1"/>
  <c r="B21" i="2"/>
  <c r="E21" i="2" s="1"/>
  <c r="O21" i="2" s="1"/>
  <c r="E26" i="6" s="1"/>
  <c r="B17" i="2"/>
  <c r="E17" i="2" s="1"/>
  <c r="O17" i="2" s="1"/>
  <c r="E22" i="6" s="1"/>
  <c r="B13" i="2"/>
  <c r="B9" i="2"/>
  <c r="B5" i="2"/>
  <c r="B204" i="2"/>
  <c r="B200" i="2"/>
  <c r="B196" i="2"/>
  <c r="B192" i="2"/>
  <c r="E192" i="2" s="1"/>
  <c r="O192" i="2" s="1"/>
  <c r="E197" i="6" s="1"/>
  <c r="B188" i="2"/>
  <c r="E188" i="2" s="1"/>
  <c r="O188" i="2" s="1"/>
  <c r="E193" i="6" s="1"/>
  <c r="B184" i="2"/>
  <c r="E184" i="2" s="1"/>
  <c r="O184" i="2" s="1"/>
  <c r="E189" i="6" s="1"/>
  <c r="B180" i="2"/>
  <c r="E180" i="2" s="1"/>
  <c r="O180" i="2" s="1"/>
  <c r="E185" i="6" s="1"/>
  <c r="B176" i="2"/>
  <c r="E176" i="2" s="1"/>
  <c r="O176" i="2" s="1"/>
  <c r="E181" i="6" s="1"/>
  <c r="B172" i="2"/>
  <c r="E172" i="2" s="1"/>
  <c r="O172" i="2" s="1"/>
  <c r="E177" i="6" s="1"/>
  <c r="B168" i="2"/>
  <c r="E168" i="2" s="1"/>
  <c r="O168" i="2" s="1"/>
  <c r="E173" i="6" s="1"/>
  <c r="B164" i="2"/>
  <c r="E164" i="2" s="1"/>
  <c r="O164" i="2" s="1"/>
  <c r="E169" i="6" s="1"/>
  <c r="B160" i="2"/>
  <c r="E160" i="2" s="1"/>
  <c r="O160" i="2" s="1"/>
  <c r="E165" i="6" s="1"/>
  <c r="B156" i="2"/>
  <c r="E156" i="2" s="1"/>
  <c r="O156" i="2" s="1"/>
  <c r="E161" i="6" s="1"/>
  <c r="B152" i="2"/>
  <c r="E152" i="2" s="1"/>
  <c r="O152" i="2" s="1"/>
  <c r="E157" i="6" s="1"/>
  <c r="B148" i="2"/>
  <c r="E148" i="2" s="1"/>
  <c r="O148" i="2" s="1"/>
  <c r="E153" i="6" s="1"/>
  <c r="B144" i="2"/>
  <c r="E144" i="2" s="1"/>
  <c r="O144" i="2" s="1"/>
  <c r="E149" i="6" s="1"/>
  <c r="B140" i="2"/>
  <c r="E140" i="2" s="1"/>
  <c r="O140" i="2" s="1"/>
  <c r="E145" i="6" s="1"/>
  <c r="B136" i="2"/>
  <c r="E136" i="2" s="1"/>
  <c r="O136" i="2" s="1"/>
  <c r="E141" i="6" s="1"/>
  <c r="B132" i="2"/>
  <c r="E132" i="2" s="1"/>
  <c r="O132" i="2" s="1"/>
  <c r="E137" i="6" s="1"/>
  <c r="B128" i="2"/>
  <c r="E128" i="2" s="1"/>
  <c r="O128" i="2" s="1"/>
  <c r="E133" i="6" s="1"/>
  <c r="B124" i="2"/>
  <c r="E124" i="2" s="1"/>
  <c r="O124" i="2" s="1"/>
  <c r="E129" i="6" s="1"/>
  <c r="B120" i="2"/>
  <c r="E120" i="2" s="1"/>
  <c r="O120" i="2" s="1"/>
  <c r="E125" i="6" s="1"/>
  <c r="B116" i="2"/>
  <c r="E116" i="2" s="1"/>
  <c r="O116" i="2" s="1"/>
  <c r="E121" i="6" s="1"/>
  <c r="B112" i="2"/>
  <c r="E112" i="2" s="1"/>
  <c r="O112" i="2" s="1"/>
  <c r="E117" i="6" s="1"/>
  <c r="B108" i="2"/>
  <c r="E108" i="2" s="1"/>
  <c r="O108" i="2" s="1"/>
  <c r="E113" i="6" s="1"/>
  <c r="B104" i="2"/>
  <c r="E104" i="2" s="1"/>
  <c r="O104" i="2" s="1"/>
  <c r="E109" i="6" s="1"/>
  <c r="B100" i="2"/>
  <c r="E100" i="2" s="1"/>
  <c r="O100" i="2" s="1"/>
  <c r="E105" i="6" s="1"/>
  <c r="B96" i="2"/>
  <c r="E96" i="2" s="1"/>
  <c r="O96" i="2" s="1"/>
  <c r="E101" i="6" s="1"/>
  <c r="B92" i="2"/>
  <c r="E92" i="2" s="1"/>
  <c r="O92" i="2" s="1"/>
  <c r="E97" i="6" s="1"/>
  <c r="B88" i="2"/>
  <c r="E88" i="2" s="1"/>
  <c r="O88" i="2" s="1"/>
  <c r="E93" i="6" s="1"/>
  <c r="B84" i="2"/>
  <c r="E84" i="2" s="1"/>
  <c r="O84" i="2" s="1"/>
  <c r="E89" i="6" s="1"/>
  <c r="B80" i="2"/>
  <c r="E80" i="2" s="1"/>
  <c r="O80" i="2" s="1"/>
  <c r="E85" i="6" s="1"/>
  <c r="B76" i="2"/>
  <c r="E76" i="2" s="1"/>
  <c r="O76" i="2" s="1"/>
  <c r="E81" i="6" s="1"/>
  <c r="B72" i="2"/>
  <c r="E72" i="2" s="1"/>
  <c r="O72" i="2" s="1"/>
  <c r="E77" i="6" s="1"/>
  <c r="B68" i="2"/>
  <c r="E68" i="2" s="1"/>
  <c r="O68" i="2" s="1"/>
  <c r="E73" i="6" s="1"/>
  <c r="B64" i="2"/>
  <c r="E64" i="2" s="1"/>
  <c r="O64" i="2" s="1"/>
  <c r="E69" i="6" s="1"/>
  <c r="B60" i="2"/>
  <c r="E60" i="2" s="1"/>
  <c r="O60" i="2" s="1"/>
  <c r="E65" i="6" s="1"/>
  <c r="B56" i="2"/>
  <c r="E56" i="2" s="1"/>
  <c r="O56" i="2" s="1"/>
  <c r="E61" i="6" s="1"/>
  <c r="B52" i="2"/>
  <c r="E52" i="2" s="1"/>
  <c r="O52" i="2" s="1"/>
  <c r="E57" i="6" s="1"/>
  <c r="B48" i="2"/>
  <c r="E48" i="2" s="1"/>
  <c r="O48" i="2" s="1"/>
  <c r="E53" i="6" s="1"/>
  <c r="B44" i="2"/>
  <c r="E44" i="2" s="1"/>
  <c r="O44" i="2" s="1"/>
  <c r="E49" i="6" s="1"/>
  <c r="B40" i="2"/>
  <c r="E40" i="2" s="1"/>
  <c r="O40" i="2" s="1"/>
  <c r="E45" i="6" s="1"/>
  <c r="B36" i="2"/>
  <c r="E36" i="2" s="1"/>
  <c r="O36" i="2" s="1"/>
  <c r="E41" i="6" s="1"/>
  <c r="B32" i="2"/>
  <c r="E32" i="2" s="1"/>
  <c r="O32" i="2" s="1"/>
  <c r="E37" i="6" s="1"/>
  <c r="B28" i="2"/>
  <c r="E28" i="2" s="1"/>
  <c r="O28" i="2" s="1"/>
  <c r="E33" i="6" s="1"/>
  <c r="B24" i="2"/>
  <c r="E24" i="2" s="1"/>
  <c r="O24" i="2" s="1"/>
  <c r="E29" i="6" s="1"/>
  <c r="B20" i="2"/>
  <c r="E20" i="2" s="1"/>
  <c r="O20" i="2" s="1"/>
  <c r="E25" i="6" s="1"/>
  <c r="B16" i="2"/>
  <c r="B12" i="2"/>
  <c r="B8" i="2"/>
  <c r="B4" i="2"/>
  <c r="B203" i="2"/>
  <c r="B187" i="2"/>
  <c r="E187" i="2" s="1"/>
  <c r="O187" i="2" s="1"/>
  <c r="E192" i="6" s="1"/>
  <c r="B171" i="2"/>
  <c r="E171" i="2" s="1"/>
  <c r="O171" i="2" s="1"/>
  <c r="E176" i="6" s="1"/>
  <c r="B155" i="2"/>
  <c r="E155" i="2" s="1"/>
  <c r="O155" i="2" s="1"/>
  <c r="E160" i="6" s="1"/>
  <c r="B139" i="2"/>
  <c r="E139" i="2" s="1"/>
  <c r="O139" i="2" s="1"/>
  <c r="E144" i="6" s="1"/>
  <c r="B123" i="2"/>
  <c r="E123" i="2" s="1"/>
  <c r="O123" i="2" s="1"/>
  <c r="E128" i="6" s="1"/>
  <c r="B107" i="2"/>
  <c r="E107" i="2" s="1"/>
  <c r="O107" i="2" s="1"/>
  <c r="E112" i="6" s="1"/>
  <c r="B91" i="2"/>
  <c r="E91" i="2" s="1"/>
  <c r="O91" i="2" s="1"/>
  <c r="E96" i="6" s="1"/>
  <c r="B75" i="2"/>
  <c r="E75" i="2" s="1"/>
  <c r="O75" i="2" s="1"/>
  <c r="E80" i="6" s="1"/>
  <c r="B59" i="2"/>
  <c r="E59" i="2" s="1"/>
  <c r="O59" i="2" s="1"/>
  <c r="E64" i="6" s="1"/>
  <c r="B43" i="2"/>
  <c r="E43" i="2" s="1"/>
  <c r="O43" i="2" s="1"/>
  <c r="E48" i="6" s="1"/>
  <c r="B27" i="2"/>
  <c r="E27" i="2" s="1"/>
  <c r="O27" i="2" s="1"/>
  <c r="E32" i="6" s="1"/>
  <c r="B11" i="2"/>
  <c r="B199" i="2"/>
  <c r="B183" i="2"/>
  <c r="E183" i="2" s="1"/>
  <c r="O183" i="2" s="1"/>
  <c r="E188" i="6" s="1"/>
  <c r="B167" i="2"/>
  <c r="E167" i="2" s="1"/>
  <c r="O167" i="2" s="1"/>
  <c r="E172" i="6" s="1"/>
  <c r="B151" i="2"/>
  <c r="E151" i="2" s="1"/>
  <c r="O151" i="2" s="1"/>
  <c r="E156" i="6" s="1"/>
  <c r="B135" i="2"/>
  <c r="E135" i="2" s="1"/>
  <c r="O135" i="2" s="1"/>
  <c r="E140" i="6" s="1"/>
  <c r="B119" i="2"/>
  <c r="E119" i="2" s="1"/>
  <c r="O119" i="2" s="1"/>
  <c r="E124" i="6" s="1"/>
  <c r="B103" i="2"/>
  <c r="E103" i="2" s="1"/>
  <c r="O103" i="2" s="1"/>
  <c r="E108" i="6" s="1"/>
  <c r="B87" i="2"/>
  <c r="E87" i="2" s="1"/>
  <c r="O87" i="2" s="1"/>
  <c r="E92" i="6" s="1"/>
  <c r="B71" i="2"/>
  <c r="E71" i="2" s="1"/>
  <c r="O71" i="2" s="1"/>
  <c r="E76" i="6" s="1"/>
  <c r="B55" i="2"/>
  <c r="E55" i="2" s="1"/>
  <c r="O55" i="2" s="1"/>
  <c r="E60" i="6" s="1"/>
  <c r="B39" i="2"/>
  <c r="E39" i="2" s="1"/>
  <c r="O39" i="2" s="1"/>
  <c r="E44" i="6" s="1"/>
  <c r="B23" i="2"/>
  <c r="E23" i="2" s="1"/>
  <c r="O23" i="2" s="1"/>
  <c r="E28" i="6" s="1"/>
  <c r="B7" i="2"/>
  <c r="B175" i="2"/>
  <c r="E175" i="2" s="1"/>
  <c r="O175" i="2" s="1"/>
  <c r="E180" i="6" s="1"/>
  <c r="B111" i="2"/>
  <c r="E111" i="2" s="1"/>
  <c r="O111" i="2" s="1"/>
  <c r="E116" i="6" s="1"/>
  <c r="B79" i="2"/>
  <c r="E79" i="2" s="1"/>
  <c r="O79" i="2" s="1"/>
  <c r="E84" i="6" s="1"/>
  <c r="B47" i="2"/>
  <c r="E47" i="2" s="1"/>
  <c r="O47" i="2" s="1"/>
  <c r="E52" i="6" s="1"/>
  <c r="B15" i="2"/>
  <c r="E15" i="2" s="1"/>
  <c r="O15" i="2" s="1"/>
  <c r="E20" i="6" s="1"/>
  <c r="B195" i="2"/>
  <c r="B179" i="2"/>
  <c r="E179" i="2" s="1"/>
  <c r="O179" i="2" s="1"/>
  <c r="E184" i="6" s="1"/>
  <c r="B163" i="2"/>
  <c r="E163" i="2" s="1"/>
  <c r="O163" i="2" s="1"/>
  <c r="E168" i="6" s="1"/>
  <c r="B147" i="2"/>
  <c r="E147" i="2" s="1"/>
  <c r="O147" i="2" s="1"/>
  <c r="E152" i="6" s="1"/>
  <c r="B131" i="2"/>
  <c r="E131" i="2" s="1"/>
  <c r="O131" i="2" s="1"/>
  <c r="E136" i="6" s="1"/>
  <c r="B115" i="2"/>
  <c r="E115" i="2" s="1"/>
  <c r="O115" i="2" s="1"/>
  <c r="E120" i="6" s="1"/>
  <c r="B99" i="2"/>
  <c r="E99" i="2" s="1"/>
  <c r="O99" i="2" s="1"/>
  <c r="E104" i="6" s="1"/>
  <c r="B83" i="2"/>
  <c r="E83" i="2" s="1"/>
  <c r="O83" i="2" s="1"/>
  <c r="E88" i="6" s="1"/>
  <c r="B67" i="2"/>
  <c r="E67" i="2" s="1"/>
  <c r="O67" i="2" s="1"/>
  <c r="E72" i="6" s="1"/>
  <c r="B51" i="2"/>
  <c r="E51" i="2" s="1"/>
  <c r="O51" i="2" s="1"/>
  <c r="E56" i="6" s="1"/>
  <c r="B35" i="2"/>
  <c r="E35" i="2" s="1"/>
  <c r="O35" i="2" s="1"/>
  <c r="E40" i="6" s="1"/>
  <c r="B19" i="2"/>
  <c r="E19" i="2" s="1"/>
  <c r="O19" i="2" s="1"/>
  <c r="E24" i="6" s="1"/>
  <c r="B3" i="2"/>
  <c r="B191" i="2"/>
  <c r="E191" i="2" s="1"/>
  <c r="O191" i="2" s="1"/>
  <c r="E196" i="6" s="1"/>
  <c r="B159" i="2"/>
  <c r="E159" i="2" s="1"/>
  <c r="O159" i="2" s="1"/>
  <c r="E164" i="6" s="1"/>
  <c r="B143" i="2"/>
  <c r="E143" i="2" s="1"/>
  <c r="O143" i="2" s="1"/>
  <c r="E148" i="6" s="1"/>
  <c r="B127" i="2"/>
  <c r="E127" i="2" s="1"/>
  <c r="O127" i="2" s="1"/>
  <c r="E132" i="6" s="1"/>
  <c r="B95" i="2"/>
  <c r="E95" i="2" s="1"/>
  <c r="O95" i="2" s="1"/>
  <c r="E100" i="6" s="1"/>
  <c r="B63" i="2"/>
  <c r="E63" i="2" s="1"/>
  <c r="O63" i="2" s="1"/>
  <c r="E68" i="6" s="1"/>
  <c r="B31" i="2"/>
  <c r="E31" i="2" s="1"/>
  <c r="O31" i="2" s="1"/>
  <c r="E36" i="6" s="1"/>
  <c r="H12" i="1"/>
  <c r="K8" i="1"/>
  <c r="K3" i="1" s="1"/>
  <c r="G14" i="1" l="1"/>
  <c r="H14" i="1" s="1"/>
  <c r="K10" i="1"/>
  <c r="M212" i="2"/>
  <c r="E18" i="3"/>
  <c r="E26" i="3"/>
  <c r="E34" i="3"/>
  <c r="E9" i="3"/>
  <c r="E17" i="3"/>
  <c r="E25" i="3"/>
  <c r="E33" i="3"/>
  <c r="E8" i="3"/>
  <c r="E16" i="3"/>
  <c r="E24" i="3"/>
  <c r="E32" i="3"/>
  <c r="E7" i="3"/>
  <c r="E15" i="3"/>
  <c r="E23" i="3"/>
  <c r="E31" i="3"/>
  <c r="E6" i="3"/>
  <c r="E22" i="3"/>
  <c r="E30" i="3"/>
  <c r="E13" i="3"/>
  <c r="E21" i="3"/>
  <c r="E29" i="3"/>
  <c r="E20" i="3"/>
  <c r="E28" i="3"/>
  <c r="E11" i="3"/>
  <c r="E19" i="3"/>
  <c r="E27" i="3"/>
  <c r="E5" i="2"/>
  <c r="O5" i="2" s="1"/>
  <c r="E10" i="6" s="1"/>
  <c r="E10" i="2"/>
  <c r="O10" i="2" s="1"/>
  <c r="E15" i="6" s="1"/>
  <c r="E202" i="2"/>
  <c r="O202" i="2" s="1"/>
  <c r="E210" i="2"/>
  <c r="O210" i="2" s="1"/>
  <c r="E3" i="2"/>
  <c r="O3" i="2" s="1"/>
  <c r="E8" i="6" s="1"/>
  <c r="E195" i="2"/>
  <c r="O195" i="2" s="1"/>
  <c r="E4" i="2"/>
  <c r="O4" i="2" s="1"/>
  <c r="E9" i="6" s="1"/>
  <c r="E196" i="2"/>
  <c r="O196" i="2" s="1"/>
  <c r="E9" i="2"/>
  <c r="O9" i="2" s="1"/>
  <c r="E14" i="6" s="1"/>
  <c r="E201" i="2"/>
  <c r="O201" i="2" s="1"/>
  <c r="E206" i="2"/>
  <c r="O206" i="2" s="1"/>
  <c r="E209" i="2"/>
  <c r="O209" i="2" s="1"/>
  <c r="E8" i="2"/>
  <c r="O8" i="2" s="1"/>
  <c r="E13" i="6" s="1"/>
  <c r="E200" i="2"/>
  <c r="O200" i="2" s="1"/>
  <c r="E13" i="2"/>
  <c r="O13" i="2" s="1"/>
  <c r="E18" i="6" s="1"/>
  <c r="E205" i="2"/>
  <c r="O205" i="2" s="1"/>
  <c r="E212" i="2"/>
  <c r="O212" i="2" s="1"/>
  <c r="E207" i="2"/>
  <c r="O207" i="2" s="1"/>
  <c r="E11" i="2"/>
  <c r="O11" i="2" s="1"/>
  <c r="E16" i="6" s="1"/>
  <c r="E203" i="2"/>
  <c r="O203" i="2" s="1"/>
  <c r="E16" i="2"/>
  <c r="O16" i="2" s="1"/>
  <c r="E21" i="6" s="1"/>
  <c r="E197" i="2"/>
  <c r="O197" i="2" s="1"/>
  <c r="E7" i="2"/>
  <c r="O7" i="2" s="1"/>
  <c r="E12" i="6" s="1"/>
  <c r="E199" i="2"/>
  <c r="O199" i="2" s="1"/>
  <c r="E12" i="2"/>
  <c r="O12" i="2" s="1"/>
  <c r="E17" i="6" s="1"/>
  <c r="E204" i="2"/>
  <c r="O204" i="2" s="1"/>
  <c r="E6" i="2"/>
  <c r="O6" i="2" s="1"/>
  <c r="E11" i="6" s="1"/>
  <c r="E198" i="2"/>
  <c r="O198" i="2" s="1"/>
  <c r="E211" i="2"/>
  <c r="O211" i="2" s="1"/>
  <c r="E208" i="2"/>
  <c r="O208" i="2" s="1"/>
  <c r="A214" i="2"/>
  <c r="B213" i="2"/>
  <c r="X213" i="2" s="1"/>
  <c r="H213" i="2" s="1"/>
  <c r="M213" i="2" s="1"/>
  <c r="X127" i="2"/>
  <c r="X131" i="2"/>
  <c r="X39" i="2"/>
  <c r="X27" i="2"/>
  <c r="X4" i="2"/>
  <c r="X52" i="2"/>
  <c r="X100" i="2"/>
  <c r="X148" i="2"/>
  <c r="X196" i="2"/>
  <c r="H196" i="2" s="1"/>
  <c r="M196" i="2" s="1"/>
  <c r="X41" i="2"/>
  <c r="X89" i="2"/>
  <c r="X137" i="2"/>
  <c r="X185" i="2"/>
  <c r="X30" i="2"/>
  <c r="X78" i="2"/>
  <c r="X126" i="2"/>
  <c r="X174" i="2"/>
  <c r="X143" i="2"/>
  <c r="X83" i="2"/>
  <c r="X175" i="2"/>
  <c r="X55" i="2"/>
  <c r="X119" i="2"/>
  <c r="X183" i="2"/>
  <c r="X43" i="2"/>
  <c r="X107" i="2"/>
  <c r="X171" i="2"/>
  <c r="X8" i="2"/>
  <c r="X24" i="2"/>
  <c r="X40" i="2"/>
  <c r="X56" i="2"/>
  <c r="X72" i="2"/>
  <c r="X88" i="2"/>
  <c r="X104" i="2"/>
  <c r="X120" i="2"/>
  <c r="X136" i="2"/>
  <c r="X152" i="2"/>
  <c r="X168" i="2"/>
  <c r="X184" i="2"/>
  <c r="X200" i="2"/>
  <c r="H200" i="2" s="1"/>
  <c r="X13" i="2"/>
  <c r="X29" i="2"/>
  <c r="X45" i="2"/>
  <c r="X61" i="2"/>
  <c r="X77" i="2"/>
  <c r="X93" i="2"/>
  <c r="X109" i="2"/>
  <c r="X125" i="2"/>
  <c r="X141" i="2"/>
  <c r="X157" i="2"/>
  <c r="X173" i="2"/>
  <c r="X189" i="2"/>
  <c r="X205" i="2"/>
  <c r="H205" i="2" s="1"/>
  <c r="M205" i="2" s="1"/>
  <c r="X18" i="2"/>
  <c r="X34" i="2"/>
  <c r="X50" i="2"/>
  <c r="X66" i="2"/>
  <c r="X82" i="2"/>
  <c r="X98" i="2"/>
  <c r="X114" i="2"/>
  <c r="X130" i="2"/>
  <c r="X146" i="2"/>
  <c r="X162" i="2"/>
  <c r="X178" i="2"/>
  <c r="X194" i="2"/>
  <c r="H194" i="2" s="1"/>
  <c r="X67" i="2"/>
  <c r="X111" i="2"/>
  <c r="X167" i="2"/>
  <c r="X155" i="2"/>
  <c r="X20" i="2"/>
  <c r="X68" i="2"/>
  <c r="X116" i="2"/>
  <c r="X164" i="2"/>
  <c r="X25" i="2"/>
  <c r="X73" i="2"/>
  <c r="X121" i="2"/>
  <c r="X169" i="2"/>
  <c r="X14" i="2"/>
  <c r="X62" i="2"/>
  <c r="X110" i="2"/>
  <c r="X142" i="2"/>
  <c r="X190" i="2"/>
  <c r="X19" i="2"/>
  <c r="X15" i="2"/>
  <c r="X63" i="2"/>
  <c r="X159" i="2"/>
  <c r="X35" i="2"/>
  <c r="X99" i="2"/>
  <c r="X163" i="2"/>
  <c r="X47" i="2"/>
  <c r="X7" i="2"/>
  <c r="X71" i="2"/>
  <c r="X135" i="2"/>
  <c r="X199" i="2"/>
  <c r="H199" i="2" s="1"/>
  <c r="M199" i="2" s="1"/>
  <c r="X59" i="2"/>
  <c r="X123" i="2"/>
  <c r="X187" i="2"/>
  <c r="X12" i="2"/>
  <c r="X28" i="2"/>
  <c r="X44" i="2"/>
  <c r="X60" i="2"/>
  <c r="X76" i="2"/>
  <c r="X92" i="2"/>
  <c r="X108" i="2"/>
  <c r="X124" i="2"/>
  <c r="X140" i="2"/>
  <c r="X156" i="2"/>
  <c r="X172" i="2"/>
  <c r="X188" i="2"/>
  <c r="X204" i="2"/>
  <c r="H204" i="2" s="1"/>
  <c r="M204" i="2" s="1"/>
  <c r="X17" i="2"/>
  <c r="X33" i="2"/>
  <c r="X49" i="2"/>
  <c r="X65" i="2"/>
  <c r="X81" i="2"/>
  <c r="X97" i="2"/>
  <c r="X113" i="2"/>
  <c r="X129" i="2"/>
  <c r="X145" i="2"/>
  <c r="X161" i="2"/>
  <c r="X177" i="2"/>
  <c r="X193" i="2"/>
  <c r="X6" i="2"/>
  <c r="X22" i="2"/>
  <c r="X38" i="2"/>
  <c r="X54" i="2"/>
  <c r="X70" i="2"/>
  <c r="X86" i="2"/>
  <c r="X102" i="2"/>
  <c r="X118" i="2"/>
  <c r="X134" i="2"/>
  <c r="X150" i="2"/>
  <c r="X166" i="2"/>
  <c r="X182" i="2"/>
  <c r="X198" i="2"/>
  <c r="H198" i="2" s="1"/>
  <c r="M198" i="2" s="1"/>
  <c r="X195" i="2"/>
  <c r="H195" i="2" s="1"/>
  <c r="M195" i="2" s="1"/>
  <c r="X103" i="2"/>
  <c r="X91" i="2"/>
  <c r="X36" i="2"/>
  <c r="X84" i="2"/>
  <c r="X132" i="2"/>
  <c r="X180" i="2"/>
  <c r="X9" i="2"/>
  <c r="X57" i="2"/>
  <c r="X105" i="2"/>
  <c r="X153" i="2"/>
  <c r="X201" i="2"/>
  <c r="H201" i="2" s="1"/>
  <c r="M201" i="2" s="1"/>
  <c r="X46" i="2"/>
  <c r="X94" i="2"/>
  <c r="X158" i="2"/>
  <c r="X206" i="2"/>
  <c r="H206" i="2" s="1"/>
  <c r="X31" i="2"/>
  <c r="X147" i="2"/>
  <c r="X95" i="2"/>
  <c r="X191" i="2"/>
  <c r="X51" i="2"/>
  <c r="X115" i="2"/>
  <c r="X179" i="2"/>
  <c r="X79" i="2"/>
  <c r="X23" i="2"/>
  <c r="X87" i="2"/>
  <c r="X151" i="2"/>
  <c r="X11" i="2"/>
  <c r="X75" i="2"/>
  <c r="X139" i="2"/>
  <c r="X203" i="2"/>
  <c r="H203" i="2" s="1"/>
  <c r="M203" i="2" s="1"/>
  <c r="X16" i="2"/>
  <c r="X32" i="2"/>
  <c r="X48" i="2"/>
  <c r="X64" i="2"/>
  <c r="X80" i="2"/>
  <c r="X96" i="2"/>
  <c r="X112" i="2"/>
  <c r="X128" i="2"/>
  <c r="X144" i="2"/>
  <c r="X160" i="2"/>
  <c r="X176" i="2"/>
  <c r="X192" i="2"/>
  <c r="X5" i="2"/>
  <c r="X21" i="2"/>
  <c r="X37" i="2"/>
  <c r="X53" i="2"/>
  <c r="X69" i="2"/>
  <c r="X85" i="2"/>
  <c r="X101" i="2"/>
  <c r="X117" i="2"/>
  <c r="X133" i="2"/>
  <c r="X149" i="2"/>
  <c r="X165" i="2"/>
  <c r="X181" i="2"/>
  <c r="X197" i="2"/>
  <c r="H197" i="2" s="1"/>
  <c r="M197" i="2" s="1"/>
  <c r="X10" i="2"/>
  <c r="X26" i="2"/>
  <c r="X42" i="2"/>
  <c r="X58" i="2"/>
  <c r="X74" i="2"/>
  <c r="X90" i="2"/>
  <c r="X106" i="2"/>
  <c r="X122" i="2"/>
  <c r="X138" i="2"/>
  <c r="X154" i="2"/>
  <c r="X170" i="2"/>
  <c r="X186" i="2"/>
  <c r="X202" i="2"/>
  <c r="H202" i="2" s="1"/>
  <c r="M202" i="2" s="1"/>
  <c r="X3" i="2"/>
  <c r="L10" i="1"/>
  <c r="I12" i="1"/>
  <c r="J12" i="1" s="1"/>
  <c r="K12" i="1" s="1"/>
  <c r="L8" i="1"/>
  <c r="L3" i="1" s="1"/>
  <c r="I14" i="1" l="1"/>
  <c r="J14" i="1" s="1"/>
  <c r="E5" i="3"/>
  <c r="M200" i="2"/>
  <c r="M206" i="2"/>
  <c r="M194" i="2"/>
  <c r="E35" i="3"/>
  <c r="E3" i="3"/>
  <c r="E4" i="3"/>
  <c r="E37" i="3"/>
  <c r="E36" i="3"/>
  <c r="E213" i="2"/>
  <c r="O213" i="2" s="1"/>
  <c r="B214" i="2"/>
  <c r="X214" i="2" s="1"/>
  <c r="H214" i="2" s="1"/>
  <c r="A215" i="2"/>
  <c r="L12" i="1"/>
  <c r="M10" i="1"/>
  <c r="M8" i="1"/>
  <c r="M3" i="1" s="1"/>
  <c r="K14" i="1" l="1"/>
  <c r="L14" i="1" s="1"/>
  <c r="M14" i="1" s="1"/>
  <c r="M214" i="2"/>
  <c r="E214" i="2"/>
  <c r="O214" i="2" s="1"/>
  <c r="A216" i="2"/>
  <c r="B215" i="2"/>
  <c r="X215" i="2" s="1"/>
  <c r="H215" i="2" s="1"/>
  <c r="M215" i="2" s="1"/>
  <c r="M12" i="1"/>
  <c r="N10" i="1"/>
  <c r="N8" i="1"/>
  <c r="N3" i="1" s="1"/>
  <c r="E215" i="2" l="1"/>
  <c r="O215" i="2" s="1"/>
  <c r="B216" i="2"/>
  <c r="X216" i="2" s="1"/>
  <c r="H216" i="2" s="1"/>
  <c r="M216" i="2" s="1"/>
  <c r="A217" i="2"/>
  <c r="N12" i="1"/>
  <c r="O10" i="1"/>
  <c r="N14" i="1"/>
  <c r="O8" i="1"/>
  <c r="O3" i="1" s="1"/>
  <c r="E216" i="2" l="1"/>
  <c r="O216" i="2" s="1"/>
  <c r="A218" i="2"/>
  <c r="B217" i="2"/>
  <c r="X217" i="2" s="1"/>
  <c r="H217" i="2" s="1"/>
  <c r="O12" i="1"/>
  <c r="P10" i="1"/>
  <c r="O14" i="1"/>
  <c r="P8" i="1"/>
  <c r="P3" i="1" s="1"/>
  <c r="M217" i="2" l="1"/>
  <c r="E217" i="2"/>
  <c r="O217" i="2" s="1"/>
  <c r="B218" i="2"/>
  <c r="X218" i="2" s="1"/>
  <c r="H218" i="2" s="1"/>
  <c r="A219" i="2"/>
  <c r="P12" i="1"/>
  <c r="Q10" i="1"/>
  <c r="P14" i="1"/>
  <c r="Q8" i="1"/>
  <c r="Q3" i="1" s="1"/>
  <c r="M218" i="2" l="1"/>
  <c r="E38" i="3"/>
  <c r="R10" i="1"/>
  <c r="E218" i="2"/>
  <c r="O218" i="2" s="1"/>
  <c r="A220" i="2"/>
  <c r="B219" i="2"/>
  <c r="X219" i="2" s="1"/>
  <c r="H219" i="2" s="1"/>
  <c r="M219" i="2" s="1"/>
  <c r="Q12" i="1"/>
  <c r="Q14" i="1"/>
  <c r="R8" i="1"/>
  <c r="R3" i="1" s="1"/>
  <c r="S10" i="1" l="1"/>
  <c r="E219" i="2"/>
  <c r="O219" i="2" s="1"/>
  <c r="R12" i="1"/>
  <c r="B220" i="2"/>
  <c r="X220" i="2" s="1"/>
  <c r="H220" i="2" s="1"/>
  <c r="M220" i="2" s="1"/>
  <c r="A221" i="2"/>
  <c r="R14" i="1"/>
  <c r="S8" i="1"/>
  <c r="S3" i="1" s="1"/>
  <c r="S12" i="1" l="1"/>
  <c r="T10" i="1"/>
  <c r="E220" i="2"/>
  <c r="O220" i="2" s="1"/>
  <c r="A222" i="2"/>
  <c r="B221" i="2"/>
  <c r="X221" i="2" s="1"/>
  <c r="H221" i="2" s="1"/>
  <c r="M221" i="2" s="1"/>
  <c r="S14" i="1"/>
  <c r="T8" i="1"/>
  <c r="T3" i="1" s="1"/>
  <c r="T12" i="1" l="1"/>
  <c r="E221" i="2"/>
  <c r="O221" i="2" s="1"/>
  <c r="B222" i="2"/>
  <c r="X222" i="2" s="1"/>
  <c r="H222" i="2" s="1"/>
  <c r="M222" i="2" s="1"/>
  <c r="A223" i="2"/>
  <c r="U10" i="1"/>
  <c r="T14" i="1"/>
  <c r="U8" i="1"/>
  <c r="U3" i="1" s="1"/>
  <c r="V10" i="1" l="1"/>
  <c r="E222" i="2"/>
  <c r="O222" i="2" s="1"/>
  <c r="U12" i="1"/>
  <c r="A224" i="2"/>
  <c r="B223" i="2"/>
  <c r="X223" i="2" s="1"/>
  <c r="H223" i="2" s="1"/>
  <c r="U14" i="1"/>
  <c r="V8" i="1"/>
  <c r="V12" i="1" l="1"/>
  <c r="V3" i="1"/>
  <c r="M223" i="2"/>
  <c r="D2" i="2"/>
  <c r="F4" i="2"/>
  <c r="F5" i="2"/>
  <c r="E223" i="2"/>
  <c r="O223" i="2" s="1"/>
  <c r="B224" i="2"/>
  <c r="X224" i="2" s="1"/>
  <c r="H224" i="2" s="1"/>
  <c r="A225" i="2"/>
  <c r="W10" i="1"/>
  <c r="V14" i="1"/>
  <c r="W8" i="1"/>
  <c r="W3" i="1" s="1"/>
  <c r="F2" i="2" l="1"/>
  <c r="D7" i="2"/>
  <c r="D4" i="2"/>
  <c r="D3" i="2"/>
  <c r="F6" i="2"/>
  <c r="D6" i="2"/>
  <c r="D5" i="2"/>
  <c r="F7" i="2"/>
  <c r="F3" i="2"/>
  <c r="E39" i="3"/>
  <c r="M224" i="2"/>
  <c r="X10" i="1"/>
  <c r="E224" i="2"/>
  <c r="O224" i="2" s="1"/>
  <c r="A226" i="2"/>
  <c r="B225" i="2"/>
  <c r="X225" i="2" s="1"/>
  <c r="H225" i="2" s="1"/>
  <c r="M225" i="2" s="1"/>
  <c r="W12" i="1"/>
  <c r="W14" i="1"/>
  <c r="X8" i="1"/>
  <c r="X3" i="1" s="1"/>
  <c r="K2" i="2" l="1"/>
  <c r="I2" i="2"/>
  <c r="E225" i="2"/>
  <c r="O225" i="2" s="1"/>
  <c r="X12" i="1"/>
  <c r="A227" i="2"/>
  <c r="B226" i="2"/>
  <c r="X226" i="2" s="1"/>
  <c r="H226" i="2" s="1"/>
  <c r="Y10" i="1"/>
  <c r="X14" i="1"/>
  <c r="Y8" i="1"/>
  <c r="Y3" i="1" s="1"/>
  <c r="L2" i="2" l="1"/>
  <c r="M226" i="2"/>
  <c r="E226" i="2"/>
  <c r="O226" i="2" s="1"/>
  <c r="A228" i="2"/>
  <c r="B227" i="2"/>
  <c r="X227" i="2" s="1"/>
  <c r="H227" i="2" s="1"/>
  <c r="M227" i="2" s="1"/>
  <c r="Y12" i="1"/>
  <c r="Z10" i="1"/>
  <c r="Y14" i="1"/>
  <c r="Z8" i="1"/>
  <c r="Z3" i="1" s="1"/>
  <c r="E227" i="2" l="1"/>
  <c r="O227" i="2" s="1"/>
  <c r="A229" i="2"/>
  <c r="B228" i="2"/>
  <c r="X228" i="2" s="1"/>
  <c r="H228" i="2" s="1"/>
  <c r="M228" i="2" s="1"/>
  <c r="Z12" i="1"/>
  <c r="AA10" i="1"/>
  <c r="Z14" i="1"/>
  <c r="AA8" i="1"/>
  <c r="AA3" i="1" s="1"/>
  <c r="AB10" i="1" l="1"/>
  <c r="E228" i="2"/>
  <c r="O228" i="2" s="1"/>
  <c r="A230" i="2"/>
  <c r="B230" i="2" s="1"/>
  <c r="X230" i="2" s="1"/>
  <c r="H230" i="2" s="1"/>
  <c r="M230" i="2" s="1"/>
  <c r="B229" i="2"/>
  <c r="X229" i="2" s="1"/>
  <c r="H229" i="2" s="1"/>
  <c r="M229" i="2" s="1"/>
  <c r="AA12" i="1"/>
  <c r="AA14" i="1"/>
  <c r="AB8" i="1"/>
  <c r="AB3" i="1" s="1"/>
  <c r="AB12" i="1" l="1"/>
  <c r="AC10" i="1"/>
  <c r="I230" i="2"/>
  <c r="R230" i="2"/>
  <c r="T230" i="2"/>
  <c r="X231" i="2"/>
  <c r="E229" i="2"/>
  <c r="O229" i="2" s="1"/>
  <c r="E230" i="2"/>
  <c r="O230" i="2" s="1"/>
  <c r="B231" i="2"/>
  <c r="B232" i="2" s="1"/>
  <c r="AB14" i="1"/>
  <c r="AC8" i="1"/>
  <c r="AC3" i="1" s="1"/>
  <c r="AC12" i="1" l="1"/>
  <c r="E40" i="3"/>
  <c r="AA230" i="2"/>
  <c r="AD10" i="1"/>
  <c r="U230" i="2"/>
  <c r="E231" i="2"/>
  <c r="E232" i="2" s="1"/>
  <c r="AC14" i="1"/>
  <c r="AD8" i="1"/>
  <c r="AD3" i="1" s="1"/>
  <c r="AD12" i="1" l="1"/>
  <c r="AE10" i="1"/>
  <c r="AD14" i="1"/>
  <c r="AE8" i="1"/>
  <c r="AE3" i="1" s="1"/>
  <c r="AE12" i="1" l="1"/>
  <c r="AF10" i="1"/>
  <c r="AE14" i="1"/>
  <c r="AF8" i="1"/>
  <c r="AF3" i="1" s="1"/>
  <c r="AF12" i="1" l="1"/>
  <c r="AG10" i="1"/>
  <c r="AF14" i="1"/>
  <c r="AG8" i="1"/>
  <c r="AG3" i="1" s="1"/>
  <c r="AG12" i="1" l="1"/>
  <c r="AH10" i="1"/>
  <c r="AH12" i="1" s="1"/>
  <c r="AG14" i="1"/>
  <c r="AH8" i="1"/>
  <c r="AH3" i="1" s="1"/>
  <c r="AI10" i="1" l="1"/>
  <c r="AI12" i="1" s="1"/>
  <c r="AH14" i="1"/>
  <c r="AI8" i="1"/>
  <c r="AI3" i="1" s="1"/>
  <c r="AJ10" i="1" l="1"/>
  <c r="AJ12" i="1" s="1"/>
  <c r="AI14" i="1"/>
  <c r="AJ8" i="1"/>
  <c r="AJ3" i="1" s="1"/>
  <c r="AK10" i="1" l="1"/>
  <c r="AK12" i="1" s="1"/>
  <c r="AJ14" i="1"/>
  <c r="AK8" i="1"/>
  <c r="AK3" i="1" s="1"/>
  <c r="AL10" i="1" l="1"/>
  <c r="AL12" i="1" s="1"/>
  <c r="AK14" i="1"/>
  <c r="AL8" i="1"/>
  <c r="AL3" i="1" s="1"/>
  <c r="AM10" i="1" l="1"/>
  <c r="C8" i="2" s="1"/>
  <c r="AL14" i="1"/>
  <c r="AM8" i="1"/>
  <c r="AM3" i="1" s="1"/>
  <c r="F18" i="2" l="1"/>
  <c r="D15" i="2"/>
  <c r="F17" i="2"/>
  <c r="D17" i="2"/>
  <c r="F15" i="2"/>
  <c r="D18" i="2"/>
  <c r="F19" i="2"/>
  <c r="D34" i="2"/>
  <c r="D30" i="2"/>
  <c r="D25" i="2"/>
  <c r="F31" i="2"/>
  <c r="D24" i="2"/>
  <c r="D36" i="2"/>
  <c r="F21" i="2"/>
  <c r="D31" i="2"/>
  <c r="F25" i="2"/>
  <c r="D32" i="2"/>
  <c r="D27" i="2"/>
  <c r="F37" i="2"/>
  <c r="F36" i="2"/>
  <c r="D42" i="2"/>
  <c r="D38" i="2"/>
  <c r="F42" i="2"/>
  <c r="F44" i="2"/>
  <c r="F49" i="2"/>
  <c r="F40" i="2"/>
  <c r="F43" i="2"/>
  <c r="F46" i="2"/>
  <c r="D49" i="2"/>
  <c r="F41" i="2"/>
  <c r="F48" i="2"/>
  <c r="F45" i="2"/>
  <c r="F50" i="2"/>
  <c r="D51" i="2"/>
  <c r="F53" i="2"/>
  <c r="D54" i="2"/>
  <c r="F52" i="2"/>
  <c r="D50" i="2"/>
  <c r="D61" i="2"/>
  <c r="F61" i="2"/>
  <c r="F59" i="2"/>
  <c r="F58" i="2"/>
  <c r="F60" i="2"/>
  <c r="D58" i="2"/>
  <c r="D59" i="2"/>
  <c r="F63" i="2"/>
  <c r="F62" i="2"/>
  <c r="D66" i="2"/>
  <c r="F66" i="2"/>
  <c r="D67" i="2"/>
  <c r="F64" i="2"/>
  <c r="D63" i="2"/>
  <c r="F67" i="2"/>
  <c r="D64" i="2"/>
  <c r="D73" i="2"/>
  <c r="D68" i="2"/>
  <c r="F71" i="2"/>
  <c r="F69" i="2"/>
  <c r="D70" i="2"/>
  <c r="F73" i="2"/>
  <c r="D71" i="2"/>
  <c r="F70" i="2"/>
  <c r="D72" i="2"/>
  <c r="C20" i="2"/>
  <c r="C14" i="2"/>
  <c r="C32" i="2"/>
  <c r="C26" i="2"/>
  <c r="C38" i="2"/>
  <c r="C44" i="2"/>
  <c r="C50" i="2"/>
  <c r="C56" i="2"/>
  <c r="C62" i="2"/>
  <c r="C68" i="2"/>
  <c r="D57" i="2"/>
  <c r="F54" i="2"/>
  <c r="D52" i="2"/>
  <c r="D46" i="2"/>
  <c r="D44" i="2"/>
  <c r="F32" i="2"/>
  <c r="D23" i="2"/>
  <c r="F30" i="2"/>
  <c r="D26" i="2"/>
  <c r="D28" i="2"/>
  <c r="F16" i="2"/>
  <c r="D39" i="2"/>
  <c r="D37" i="2"/>
  <c r="D29" i="2"/>
  <c r="F26" i="2"/>
  <c r="D22" i="2"/>
  <c r="F57" i="2"/>
  <c r="D53" i="2"/>
  <c r="F38" i="2"/>
  <c r="F39" i="2"/>
  <c r="D40" i="2"/>
  <c r="F34" i="2"/>
  <c r="F29" i="2"/>
  <c r="D20" i="2"/>
  <c r="D35" i="2"/>
  <c r="F23" i="2"/>
  <c r="D19" i="2"/>
  <c r="F14" i="2"/>
  <c r="D69" i="2"/>
  <c r="F68" i="2"/>
  <c r="F65" i="2"/>
  <c r="D60" i="2"/>
  <c r="F56" i="2"/>
  <c r="D55" i="2"/>
  <c r="D45" i="2"/>
  <c r="D47" i="2"/>
  <c r="F33" i="2"/>
  <c r="F35" i="2"/>
  <c r="F20" i="2"/>
  <c r="F22" i="2"/>
  <c r="D33" i="2"/>
  <c r="F27" i="2"/>
  <c r="D14" i="2"/>
  <c r="D16" i="2"/>
  <c r="F72" i="2"/>
  <c r="D65" i="2"/>
  <c r="D62" i="2"/>
  <c r="D56" i="2"/>
  <c r="F55" i="2"/>
  <c r="F51" i="2"/>
  <c r="F47" i="2"/>
  <c r="D48" i="2"/>
  <c r="D41" i="2"/>
  <c r="D43" i="2"/>
  <c r="F28" i="2"/>
  <c r="F24" i="2"/>
  <c r="D21" i="2"/>
  <c r="D100" i="2"/>
  <c r="F112" i="2"/>
  <c r="D104" i="2"/>
  <c r="F115" i="2"/>
  <c r="F119" i="2"/>
  <c r="D99" i="2"/>
  <c r="D113" i="2"/>
  <c r="D105" i="2"/>
  <c r="D102" i="2"/>
  <c r="D118" i="2"/>
  <c r="F110" i="2"/>
  <c r="D116" i="2"/>
  <c r="D109" i="2"/>
  <c r="F109" i="2"/>
  <c r="D110" i="2"/>
  <c r="F104" i="2"/>
  <c r="F111" i="2"/>
  <c r="F102" i="2"/>
  <c r="D103" i="2"/>
  <c r="D106" i="2"/>
  <c r="F105" i="2"/>
  <c r="F107" i="2"/>
  <c r="F114" i="2"/>
  <c r="D121" i="2"/>
  <c r="F117" i="2"/>
  <c r="D107" i="2"/>
  <c r="F101" i="2"/>
  <c r="AM12" i="1"/>
  <c r="C74" i="2"/>
  <c r="C80" i="2"/>
  <c r="C86" i="2"/>
  <c r="C92" i="2"/>
  <c r="C104" i="2"/>
  <c r="C98" i="2"/>
  <c r="C116" i="2"/>
  <c r="C110" i="2"/>
  <c r="C158" i="2"/>
  <c r="C194" i="2"/>
  <c r="AN10" i="1"/>
  <c r="AN8" i="1"/>
  <c r="AN3" i="1" s="1"/>
  <c r="D149" i="2"/>
  <c r="D174" i="2"/>
  <c r="D175" i="2"/>
  <c r="D159" i="2"/>
  <c r="D161" i="2"/>
  <c r="C209" i="2"/>
  <c r="C195" i="2"/>
  <c r="C143" i="2"/>
  <c r="C190" i="2"/>
  <c r="C45" i="2"/>
  <c r="C199" i="2"/>
  <c r="C3" i="2"/>
  <c r="C82" i="2"/>
  <c r="C102" i="2"/>
  <c r="C175" i="2"/>
  <c r="C65" i="2"/>
  <c r="C93" i="2"/>
  <c r="C78" i="2"/>
  <c r="C29" i="2"/>
  <c r="C179" i="2"/>
  <c r="C136" i="2"/>
  <c r="C127" i="2"/>
  <c r="C72" i="2"/>
  <c r="C197" i="2"/>
  <c r="C174" i="2"/>
  <c r="C150" i="2"/>
  <c r="C193" i="2"/>
  <c r="C171" i="2"/>
  <c r="C111" i="2"/>
  <c r="C107" i="2"/>
  <c r="C165" i="2"/>
  <c r="C144" i="2"/>
  <c r="C131" i="2"/>
  <c r="C37" i="2"/>
  <c r="C196" i="2"/>
  <c r="C105" i="2"/>
  <c r="C211" i="2"/>
  <c r="C47" i="2"/>
  <c r="C28" i="2"/>
  <c r="C132" i="2"/>
  <c r="C173" i="2"/>
  <c r="C40" i="2"/>
  <c r="C115" i="2"/>
  <c r="C212" i="2"/>
  <c r="C41" i="2"/>
  <c r="C12" i="2"/>
  <c r="C94" i="2"/>
  <c r="C109" i="2"/>
  <c r="C112" i="2"/>
  <c r="C77" i="2"/>
  <c r="C64" i="2"/>
  <c r="C70" i="2"/>
  <c r="C19" i="2"/>
  <c r="C151" i="2"/>
  <c r="C153" i="2"/>
  <c r="C166" i="2"/>
  <c r="C10" i="2"/>
  <c r="C15" i="2"/>
  <c r="C33" i="2"/>
  <c r="C167" i="2"/>
  <c r="C76" i="2"/>
  <c r="C57" i="2"/>
  <c r="C73" i="2"/>
  <c r="C213" i="2"/>
  <c r="C55" i="2"/>
  <c r="C83" i="2"/>
  <c r="C119" i="2"/>
  <c r="C36" i="2"/>
  <c r="C161" i="2"/>
  <c r="C159" i="2"/>
  <c r="C9" i="2"/>
  <c r="C149" i="2"/>
  <c r="C145" i="2"/>
  <c r="C120" i="2"/>
  <c r="C39" i="2"/>
  <c r="C99" i="2"/>
  <c r="C187" i="2"/>
  <c r="C96" i="2"/>
  <c r="C137" i="2"/>
  <c r="C67" i="2"/>
  <c r="C27" i="2"/>
  <c r="C126" i="2"/>
  <c r="C129" i="2"/>
  <c r="C5" i="2"/>
  <c r="C205" i="2"/>
  <c r="C138" i="2"/>
  <c r="C103" i="2"/>
  <c r="C18" i="2"/>
  <c r="C202" i="2"/>
  <c r="C34" i="2"/>
  <c r="C24" i="2"/>
  <c r="C204" i="2"/>
  <c r="C54" i="2"/>
  <c r="C169" i="2"/>
  <c r="C162" i="2"/>
  <c r="C58" i="2"/>
  <c r="C95" i="2"/>
  <c r="C157" i="2"/>
  <c r="C89" i="2"/>
  <c r="C184" i="2"/>
  <c r="C60" i="2"/>
  <c r="C61" i="2"/>
  <c r="C69" i="2"/>
  <c r="C192" i="2"/>
  <c r="C23" i="2"/>
  <c r="C124" i="2"/>
  <c r="C201" i="2"/>
  <c r="C52" i="2"/>
  <c r="C100" i="2"/>
  <c r="C203" i="2"/>
  <c r="C163" i="2"/>
  <c r="C172" i="2"/>
  <c r="C156" i="2"/>
  <c r="C31" i="2"/>
  <c r="C148" i="2"/>
  <c r="C183" i="2"/>
  <c r="C189" i="2"/>
  <c r="C155" i="2"/>
  <c r="C133" i="2"/>
  <c r="C123" i="2"/>
  <c r="C30" i="2"/>
  <c r="C48" i="2"/>
  <c r="C22" i="2"/>
  <c r="C191" i="2"/>
  <c r="C46" i="2"/>
  <c r="C16" i="2"/>
  <c r="C53" i="2"/>
  <c r="C4" i="2"/>
  <c r="C130" i="2"/>
  <c r="C7" i="2"/>
  <c r="C208" i="2"/>
  <c r="C186" i="2"/>
  <c r="C142" i="2"/>
  <c r="C139" i="2"/>
  <c r="C181" i="2"/>
  <c r="C75" i="2"/>
  <c r="C206" i="2"/>
  <c r="C17" i="2"/>
  <c r="C118" i="2"/>
  <c r="C6" i="2"/>
  <c r="C117" i="2"/>
  <c r="C51" i="2"/>
  <c r="C66" i="2"/>
  <c r="C147" i="2"/>
  <c r="C88" i="2"/>
  <c r="C108" i="2"/>
  <c r="C43" i="2"/>
  <c r="C79" i="2"/>
  <c r="C90" i="2"/>
  <c r="C81" i="2"/>
  <c r="C21" i="2"/>
  <c r="C87" i="2"/>
  <c r="C141" i="2"/>
  <c r="C71" i="2"/>
  <c r="C160" i="2"/>
  <c r="C49" i="2"/>
  <c r="C97" i="2"/>
  <c r="C85" i="2"/>
  <c r="C25" i="2"/>
  <c r="C13" i="2"/>
  <c r="C180" i="2"/>
  <c r="C168" i="2"/>
  <c r="C135" i="2"/>
  <c r="C91" i="2"/>
  <c r="C84" i="2"/>
  <c r="C177" i="2"/>
  <c r="C210" i="2"/>
  <c r="C106" i="2"/>
  <c r="C63" i="2"/>
  <c r="C35" i="2"/>
  <c r="C11" i="2"/>
  <c r="C207" i="2"/>
  <c r="C42" i="2"/>
  <c r="C114" i="2"/>
  <c r="C178" i="2"/>
  <c r="C121" i="2"/>
  <c r="C101" i="2"/>
  <c r="C154" i="2"/>
  <c r="C59" i="2"/>
  <c r="C198" i="2"/>
  <c r="C185" i="2"/>
  <c r="C125" i="2"/>
  <c r="C113" i="2"/>
  <c r="C218" i="2"/>
  <c r="C214" i="2"/>
  <c r="C215" i="2"/>
  <c r="C216" i="2"/>
  <c r="C217" i="2"/>
  <c r="C219" i="2"/>
  <c r="C224" i="2"/>
  <c r="C220" i="2"/>
  <c r="C221" i="2"/>
  <c r="C222" i="2"/>
  <c r="C223" i="2"/>
  <c r="C225" i="2"/>
  <c r="C226" i="2"/>
  <c r="C134" i="2"/>
  <c r="C122" i="2"/>
  <c r="C227" i="2"/>
  <c r="C230" i="2"/>
  <c r="C229" i="2"/>
  <c r="C228" i="2"/>
  <c r="C146" i="2"/>
  <c r="C128" i="2"/>
  <c r="C140" i="2"/>
  <c r="D135" i="2"/>
  <c r="D123" i="2"/>
  <c r="D146" i="2"/>
  <c r="D230" i="2"/>
  <c r="D134" i="2"/>
  <c r="D128" i="2"/>
  <c r="D122" i="2"/>
  <c r="D138" i="2"/>
  <c r="D139" i="2"/>
  <c r="D129" i="2"/>
  <c r="D133" i="2"/>
  <c r="D130" i="2"/>
  <c r="D132" i="2"/>
  <c r="D124" i="2"/>
  <c r="D137" i="2"/>
  <c r="D125" i="2"/>
  <c r="D127" i="2"/>
  <c r="D126" i="2"/>
  <c r="D136" i="2"/>
  <c r="D131" i="2"/>
  <c r="F160" i="2"/>
  <c r="F163" i="2"/>
  <c r="F170" i="2"/>
  <c r="D166" i="2"/>
  <c r="F172" i="2"/>
  <c r="F134" i="2"/>
  <c r="F159" i="2"/>
  <c r="D165" i="2"/>
  <c r="D164" i="2"/>
  <c r="F147" i="2"/>
  <c r="D142" i="2"/>
  <c r="F150" i="2"/>
  <c r="F158" i="2"/>
  <c r="C164" i="2"/>
  <c r="D176" i="2"/>
  <c r="D162" i="2"/>
  <c r="F165" i="2"/>
  <c r="F167" i="2"/>
  <c r="F145" i="2"/>
  <c r="D158" i="2"/>
  <c r="F187" i="2"/>
  <c r="D190" i="2"/>
  <c r="D192" i="2"/>
  <c r="F148" i="2"/>
  <c r="D145" i="2"/>
  <c r="F149" i="2"/>
  <c r="F136" i="2"/>
  <c r="F173" i="2"/>
  <c r="D180" i="2"/>
  <c r="D144" i="2"/>
  <c r="F162" i="2"/>
  <c r="D155" i="2"/>
  <c r="F135" i="2"/>
  <c r="F166" i="2"/>
  <c r="D151" i="2"/>
  <c r="F141" i="2"/>
  <c r="D150" i="2"/>
  <c r="F186" i="2"/>
  <c r="D189" i="2"/>
  <c r="D188" i="2"/>
  <c r="D177" i="2"/>
  <c r="F161" i="2"/>
  <c r="D179" i="2"/>
  <c r="D156" i="2"/>
  <c r="D141" i="2"/>
  <c r="F146" i="2"/>
  <c r="D168" i="2"/>
  <c r="C176" i="2"/>
  <c r="D157" i="2"/>
  <c r="F153" i="2"/>
  <c r="F169" i="2"/>
  <c r="F154" i="2"/>
  <c r="F142" i="2"/>
  <c r="D148" i="2"/>
  <c r="F184" i="2"/>
  <c r="F185" i="2"/>
  <c r="D191" i="2"/>
  <c r="D143" i="2"/>
  <c r="D140" i="2"/>
  <c r="D167" i="2"/>
  <c r="D178" i="2"/>
  <c r="D181" i="2"/>
  <c r="F175" i="2"/>
  <c r="D154" i="2"/>
  <c r="F137" i="2"/>
  <c r="F139" i="2"/>
  <c r="D169" i="2"/>
  <c r="C152" i="2"/>
  <c r="F151" i="2"/>
  <c r="D152" i="2"/>
  <c r="F174" i="2"/>
  <c r="F171" i="2"/>
  <c r="D160" i="2"/>
  <c r="F152" i="2"/>
  <c r="C188" i="2"/>
  <c r="D171" i="2"/>
  <c r="F157" i="2"/>
  <c r="F183" i="2"/>
  <c r="F182" i="2"/>
  <c r="D193" i="2"/>
  <c r="D153" i="2"/>
  <c r="D170" i="2"/>
  <c r="AN12" i="1"/>
  <c r="D205" i="2"/>
  <c r="D204" i="2"/>
  <c r="D201" i="2"/>
  <c r="D203" i="2"/>
  <c r="D202" i="2"/>
  <c r="D206" i="2"/>
  <c r="D210" i="2"/>
  <c r="D207" i="2"/>
  <c r="D211" i="2"/>
  <c r="D209" i="2"/>
  <c r="D200" i="2"/>
  <c r="D212" i="2"/>
  <c r="D208" i="2"/>
  <c r="D213" i="2"/>
  <c r="D214" i="2"/>
  <c r="D215" i="2"/>
  <c r="D216" i="2"/>
  <c r="D217" i="2"/>
  <c r="D218" i="2"/>
  <c r="D219" i="2"/>
  <c r="D220" i="2"/>
  <c r="D221" i="2"/>
  <c r="D222" i="2"/>
  <c r="D223" i="2"/>
  <c r="D224" i="2"/>
  <c r="D225" i="2"/>
  <c r="D226" i="2"/>
  <c r="D227" i="2"/>
  <c r="D228" i="2"/>
  <c r="D229" i="2"/>
  <c r="F194" i="2"/>
  <c r="F195" i="2"/>
  <c r="F196" i="2"/>
  <c r="F197" i="2"/>
  <c r="F199" i="2"/>
  <c r="F198" i="2"/>
  <c r="AM14" i="1"/>
  <c r="D11" i="2" l="1"/>
  <c r="D13" i="2"/>
  <c r="D12" i="2"/>
  <c r="D8" i="2"/>
  <c r="D10" i="2"/>
  <c r="D9" i="2"/>
  <c r="F12" i="2"/>
  <c r="F9" i="2"/>
  <c r="F8" i="2"/>
  <c r="F10" i="2"/>
  <c r="F13" i="2"/>
  <c r="F11" i="2"/>
  <c r="F85" i="2"/>
  <c r="F95" i="2"/>
  <c r="F79" i="2"/>
  <c r="F97" i="2"/>
  <c r="F89" i="2"/>
  <c r="F75" i="2"/>
  <c r="F93" i="2"/>
  <c r="F81" i="2"/>
  <c r="F96" i="2"/>
  <c r="F98" i="2"/>
  <c r="F87" i="2"/>
  <c r="F88" i="2"/>
  <c r="F90" i="2"/>
  <c r="F76" i="2"/>
  <c r="F77" i="2"/>
  <c r="F83" i="2"/>
  <c r="F74" i="2"/>
  <c r="F80" i="2"/>
  <c r="F86" i="2"/>
  <c r="F94" i="2"/>
  <c r="F78" i="2"/>
  <c r="F82" i="2"/>
  <c r="F92" i="2"/>
  <c r="F91" i="2"/>
  <c r="F84" i="2"/>
  <c r="F99" i="2"/>
  <c r="F103" i="2"/>
  <c r="F116" i="2"/>
  <c r="F118" i="2"/>
  <c r="F121" i="2"/>
  <c r="F106" i="2"/>
  <c r="F108" i="2"/>
  <c r="F100" i="2"/>
  <c r="F113" i="2"/>
  <c r="F120" i="2"/>
  <c r="D91" i="2"/>
  <c r="D96" i="2"/>
  <c r="D78" i="2"/>
  <c r="D84" i="2"/>
  <c r="D75" i="2"/>
  <c r="D85" i="2"/>
  <c r="D90" i="2"/>
  <c r="D83" i="2"/>
  <c r="D80" i="2"/>
  <c r="D94" i="2"/>
  <c r="D76" i="2"/>
  <c r="D87" i="2"/>
  <c r="D93" i="2"/>
  <c r="D74" i="2"/>
  <c r="D98" i="2"/>
  <c r="D77" i="2"/>
  <c r="D95" i="2"/>
  <c r="D82" i="2"/>
  <c r="D86" i="2"/>
  <c r="D79" i="2"/>
  <c r="D89" i="2"/>
  <c r="D92" i="2"/>
  <c r="D81" i="2"/>
  <c r="D88" i="2"/>
  <c r="D97" i="2"/>
  <c r="D111" i="2"/>
  <c r="D108" i="2"/>
  <c r="D117" i="2"/>
  <c r="D120" i="2"/>
  <c r="D115" i="2"/>
  <c r="D112" i="2"/>
  <c r="D114" i="2"/>
  <c r="D101" i="2"/>
  <c r="D119" i="2"/>
  <c r="AO10" i="1"/>
  <c r="AO12" i="1" s="1"/>
  <c r="AO8" i="1"/>
  <c r="AO3" i="1" s="1"/>
  <c r="F126" i="2"/>
  <c r="F133" i="2"/>
  <c r="F128" i="2"/>
  <c r="F127" i="2"/>
  <c r="F124" i="2"/>
  <c r="F230" i="2"/>
  <c r="F131" i="2"/>
  <c r="F122" i="2"/>
  <c r="F130" i="2"/>
  <c r="F123" i="2"/>
  <c r="F132" i="2"/>
  <c r="F125" i="2"/>
  <c r="F143" i="2"/>
  <c r="F129" i="2"/>
  <c r="F138" i="2"/>
  <c r="D184" i="2"/>
  <c r="F180" i="2"/>
  <c r="F156" i="2"/>
  <c r="F179" i="2"/>
  <c r="D163" i="2"/>
  <c r="D196" i="2"/>
  <c r="F193" i="2"/>
  <c r="F190" i="2"/>
  <c r="D183" i="2"/>
  <c r="D172" i="2"/>
  <c r="D198" i="2"/>
  <c r="F164" i="2"/>
  <c r="F176" i="2"/>
  <c r="D187" i="2"/>
  <c r="D186" i="2"/>
  <c r="F144" i="2"/>
  <c r="F177" i="2"/>
  <c r="F155" i="2"/>
  <c r="D199" i="2"/>
  <c r="F191" i="2"/>
  <c r="F189" i="2"/>
  <c r="C170" i="2"/>
  <c r="F178" i="2"/>
  <c r="D197" i="2"/>
  <c r="C200" i="2"/>
  <c r="F181" i="2"/>
  <c r="D185" i="2"/>
  <c r="D182" i="2"/>
  <c r="F140" i="2"/>
  <c r="D194" i="2"/>
  <c r="D195" i="2"/>
  <c r="F192" i="2"/>
  <c r="F168" i="2"/>
  <c r="C182" i="2"/>
  <c r="D173" i="2"/>
  <c r="F188" i="2"/>
  <c r="D147" i="2"/>
  <c r="AN14" i="1"/>
  <c r="AO14" i="1" s="1"/>
  <c r="F210" i="2"/>
  <c r="F201" i="2"/>
  <c r="F209" i="2"/>
  <c r="F200" i="2"/>
  <c r="F205" i="2"/>
  <c r="F207" i="2"/>
  <c r="F203" i="2"/>
  <c r="F204" i="2"/>
  <c r="F208" i="2"/>
  <c r="F202" i="2"/>
  <c r="F206" i="2"/>
  <c r="F212" i="2"/>
  <c r="F211" i="2"/>
  <c r="F213" i="2"/>
  <c r="F214" i="2"/>
  <c r="F215" i="2"/>
  <c r="F216" i="2"/>
  <c r="F217" i="2"/>
  <c r="F218" i="2"/>
  <c r="F219" i="2"/>
  <c r="F220" i="2"/>
  <c r="F221" i="2"/>
  <c r="F222" i="2"/>
  <c r="F223" i="2"/>
  <c r="F224" i="2"/>
  <c r="F225" i="2"/>
  <c r="F226" i="2"/>
  <c r="F227" i="2"/>
  <c r="F228" i="2"/>
  <c r="F229" i="2"/>
  <c r="K230" i="2" l="1"/>
  <c r="Z230" i="2" s="1"/>
  <c r="C35" i="3"/>
  <c r="D231" i="2"/>
  <c r="D232" i="2" s="1"/>
  <c r="C231" i="2"/>
  <c r="C232" i="2" s="1"/>
  <c r="AP8" i="1"/>
  <c r="AP3" i="1" s="1"/>
  <c r="AP10" i="1"/>
  <c r="AP12" i="1" s="1"/>
  <c r="S75" i="2"/>
  <c r="S169" i="2"/>
  <c r="S197" i="2"/>
  <c r="S96" i="2"/>
  <c r="S132" i="2"/>
  <c r="S76" i="2"/>
  <c r="S205" i="2"/>
  <c r="S77" i="2"/>
  <c r="S175" i="2"/>
  <c r="S148" i="2"/>
  <c r="S144" i="2"/>
  <c r="S97" i="2"/>
  <c r="S208" i="2"/>
  <c r="S160" i="2"/>
  <c r="S115" i="2"/>
  <c r="S198" i="2"/>
  <c r="S113" i="2"/>
  <c r="S135" i="2"/>
  <c r="S178" i="2"/>
  <c r="S186" i="2"/>
  <c r="S124" i="2"/>
  <c r="S162" i="2"/>
  <c r="S117" i="2"/>
  <c r="S153" i="2"/>
  <c r="S195" i="2"/>
  <c r="S130" i="2"/>
  <c r="S93" i="2"/>
  <c r="S83" i="2"/>
  <c r="S89" i="2"/>
  <c r="S207" i="2"/>
  <c r="S156" i="2"/>
  <c r="S119" i="2"/>
  <c r="S193" i="2"/>
  <c r="S184" i="2"/>
  <c r="S206" i="2"/>
  <c r="S187" i="2"/>
  <c r="S210" i="2"/>
  <c r="S190" i="2"/>
  <c r="S112" i="2"/>
  <c r="S125" i="2"/>
  <c r="S127" i="2"/>
  <c r="S179" i="2"/>
  <c r="S82" i="2"/>
  <c r="S165" i="2"/>
  <c r="S94" i="2"/>
  <c r="S103" i="2"/>
  <c r="S155" i="2"/>
  <c r="S173" i="2"/>
  <c r="S136" i="2"/>
  <c r="S143" i="2"/>
  <c r="S131" i="2"/>
  <c r="S151" i="2"/>
  <c r="S204" i="2"/>
  <c r="S209" i="2"/>
  <c r="S139" i="2"/>
  <c r="S191" i="2"/>
  <c r="S118" i="2"/>
  <c r="S81" i="2"/>
  <c r="S163" i="2"/>
  <c r="S168" i="2"/>
  <c r="S203" i="2"/>
  <c r="S199" i="2"/>
  <c r="S154" i="2"/>
  <c r="S85" i="2"/>
  <c r="S180" i="2"/>
  <c r="S150" i="2"/>
  <c r="S189" i="2"/>
  <c r="S120" i="2"/>
  <c r="S174" i="2"/>
  <c r="S196" i="2"/>
  <c r="S90" i="2"/>
  <c r="S91" i="2"/>
  <c r="S185" i="2"/>
  <c r="S129" i="2"/>
  <c r="S212" i="2"/>
  <c r="S133" i="2"/>
  <c r="S201" i="2"/>
  <c r="S166" i="2"/>
  <c r="S111" i="2"/>
  <c r="S141" i="2"/>
  <c r="S171" i="2"/>
  <c r="S126" i="2"/>
  <c r="S211" i="2"/>
  <c r="S102" i="2"/>
  <c r="S123" i="2"/>
  <c r="S202" i="2"/>
  <c r="S87" i="2"/>
  <c r="S147" i="2"/>
  <c r="S177" i="2"/>
  <c r="S108" i="2"/>
  <c r="S142" i="2"/>
  <c r="S88" i="2"/>
  <c r="S95" i="2"/>
  <c r="S99" i="2"/>
  <c r="S181" i="2"/>
  <c r="S192" i="2"/>
  <c r="S84" i="2"/>
  <c r="S172" i="2"/>
  <c r="S157" i="2"/>
  <c r="S107" i="2"/>
  <c r="S78" i="2"/>
  <c r="S100" i="2"/>
  <c r="S159" i="2"/>
  <c r="S138" i="2"/>
  <c r="S101" i="2"/>
  <c r="S105" i="2"/>
  <c r="S114" i="2"/>
  <c r="S109" i="2"/>
  <c r="S137" i="2"/>
  <c r="S106" i="2"/>
  <c r="S79" i="2"/>
  <c r="S145" i="2"/>
  <c r="S121" i="2"/>
  <c r="S161" i="2"/>
  <c r="S149" i="2"/>
  <c r="S167" i="2"/>
  <c r="S183" i="2"/>
  <c r="S213" i="2"/>
  <c r="S214" i="2"/>
  <c r="S215" i="2"/>
  <c r="S216" i="2"/>
  <c r="S74" i="2"/>
  <c r="S217" i="2"/>
  <c r="S218" i="2"/>
  <c r="S80" i="2"/>
  <c r="S86" i="2"/>
  <c r="S219" i="2"/>
  <c r="S220" i="2"/>
  <c r="S221" i="2"/>
  <c r="S98" i="2"/>
  <c r="S92" i="2"/>
  <c r="S222" i="2"/>
  <c r="S223" i="2"/>
  <c r="S110" i="2"/>
  <c r="S104" i="2"/>
  <c r="S224" i="2"/>
  <c r="S116" i="2"/>
  <c r="S225" i="2"/>
  <c r="S226" i="2"/>
  <c r="S134" i="2"/>
  <c r="S122" i="2"/>
  <c r="S227" i="2"/>
  <c r="S228" i="2"/>
  <c r="S128" i="2"/>
  <c r="S140" i="2"/>
  <c r="S146" i="2"/>
  <c r="S230" i="2"/>
  <c r="S229" i="2"/>
  <c r="S152" i="2"/>
  <c r="S158" i="2"/>
  <c r="S164" i="2"/>
  <c r="S170" i="2"/>
  <c r="S176" i="2"/>
  <c r="S182" i="2"/>
  <c r="S188" i="2"/>
  <c r="S194" i="2"/>
  <c r="S200" i="2"/>
  <c r="F231" i="2"/>
  <c r="F232" i="2" s="1"/>
  <c r="J160" i="2"/>
  <c r="J115" i="2"/>
  <c r="J145" i="2"/>
  <c r="J187" i="2"/>
  <c r="J121" i="2"/>
  <c r="J88" i="2"/>
  <c r="Y88" i="2" s="1"/>
  <c r="B93" i="6" s="1"/>
  <c r="J117" i="2"/>
  <c r="J84" i="2"/>
  <c r="J130" i="2"/>
  <c r="J93" i="2"/>
  <c r="J83" i="2"/>
  <c r="J89" i="2"/>
  <c r="J186" i="2"/>
  <c r="J203" i="2"/>
  <c r="J95" i="2"/>
  <c r="Y95" i="2" s="1"/>
  <c r="B100" i="6" s="1"/>
  <c r="J129" i="2"/>
  <c r="J123" i="2"/>
  <c r="J190" i="2"/>
  <c r="J184" i="2"/>
  <c r="J212" i="2"/>
  <c r="J197" i="2"/>
  <c r="J96" i="2"/>
  <c r="J132" i="2"/>
  <c r="Y132" i="2" s="1"/>
  <c r="B137" i="6" s="1"/>
  <c r="J76" i="2"/>
  <c r="J111" i="2"/>
  <c r="Y111" i="2" s="1"/>
  <c r="B116" i="6" s="1"/>
  <c r="J141" i="2"/>
  <c r="J171" i="2"/>
  <c r="Y171" i="2" s="1"/>
  <c r="B176" i="6" s="1"/>
  <c r="J126" i="2"/>
  <c r="Y126" i="2" s="1"/>
  <c r="B131" i="6" s="1"/>
  <c r="J210" i="2"/>
  <c r="J202" i="2"/>
  <c r="J139" i="2"/>
  <c r="J191" i="2"/>
  <c r="J198" i="2"/>
  <c r="J113" i="2"/>
  <c r="J135" i="2"/>
  <c r="J178" i="2"/>
  <c r="J85" i="2"/>
  <c r="J91" i="2"/>
  <c r="J189" i="2"/>
  <c r="J120" i="2"/>
  <c r="J174" i="2"/>
  <c r="J196" i="2"/>
  <c r="J211" i="2"/>
  <c r="J154" i="2"/>
  <c r="J106" i="2"/>
  <c r="J75" i="2"/>
  <c r="J102" i="2"/>
  <c r="J97" i="2"/>
  <c r="J199" i="2"/>
  <c r="J169" i="2"/>
  <c r="J209" i="2"/>
  <c r="J165" i="2"/>
  <c r="J94" i="2"/>
  <c r="J103" i="2"/>
  <c r="J114" i="2"/>
  <c r="J109" i="2"/>
  <c r="J119" i="2"/>
  <c r="J137" i="2"/>
  <c r="J90" i="2"/>
  <c r="J87" i="2"/>
  <c r="J147" i="2"/>
  <c r="J118" i="2"/>
  <c r="J81" i="2"/>
  <c r="J163" i="2"/>
  <c r="J192" i="2"/>
  <c r="J153" i="2"/>
  <c r="Y153" i="2" s="1"/>
  <c r="B158" i="6" s="1"/>
  <c r="J195" i="2"/>
  <c r="J172" i="2"/>
  <c r="J157" i="2"/>
  <c r="Y157" i="2" s="1"/>
  <c r="B162" i="6" s="1"/>
  <c r="J107" i="2"/>
  <c r="Y107" i="2" s="1"/>
  <c r="B112" i="6" s="1"/>
  <c r="J78" i="2"/>
  <c r="Y78" i="2" s="1"/>
  <c r="B83" i="6" s="1"/>
  <c r="J100" i="2"/>
  <c r="J207" i="2"/>
  <c r="J149" i="2"/>
  <c r="J151" i="2"/>
  <c r="J193" i="2"/>
  <c r="J204" i="2"/>
  <c r="J99" i="2"/>
  <c r="J162" i="2"/>
  <c r="J133" i="2"/>
  <c r="J201" i="2"/>
  <c r="J166" i="2"/>
  <c r="J205" i="2"/>
  <c r="J77" i="2"/>
  <c r="J175" i="2"/>
  <c r="J148" i="2"/>
  <c r="J79" i="2"/>
  <c r="J206" i="2"/>
  <c r="J177" i="2"/>
  <c r="J108" i="2"/>
  <c r="J142" i="2"/>
  <c r="J168" i="2"/>
  <c r="J181" i="2"/>
  <c r="J112" i="2"/>
  <c r="J180" i="2"/>
  <c r="J150" i="2"/>
  <c r="J167" i="2"/>
  <c r="J125" i="2"/>
  <c r="Y125" i="2" s="1"/>
  <c r="B130" i="6" s="1"/>
  <c r="J183" i="2"/>
  <c r="J185" i="2"/>
  <c r="J127" i="2"/>
  <c r="J144" i="2"/>
  <c r="J179" i="2"/>
  <c r="J161" i="2"/>
  <c r="J124" i="2"/>
  <c r="J159" i="2"/>
  <c r="J82" i="2"/>
  <c r="J208" i="2"/>
  <c r="J138" i="2"/>
  <c r="J101" i="2"/>
  <c r="J105" i="2"/>
  <c r="J156" i="2"/>
  <c r="J155" i="2"/>
  <c r="Y155" i="2" s="1"/>
  <c r="B160" i="6" s="1"/>
  <c r="J173" i="2"/>
  <c r="Y173" i="2" s="1"/>
  <c r="B178" i="6" s="1"/>
  <c r="J136" i="2"/>
  <c r="Y136" i="2" s="1"/>
  <c r="B141" i="6" s="1"/>
  <c r="J143" i="2"/>
  <c r="Y143" i="2" s="1"/>
  <c r="B148" i="6" s="1"/>
  <c r="J131" i="2"/>
  <c r="Y131" i="2" s="1"/>
  <c r="B136" i="6" s="1"/>
  <c r="J213" i="2"/>
  <c r="J214" i="2"/>
  <c r="J215" i="2"/>
  <c r="J216" i="2"/>
  <c r="J74" i="2"/>
  <c r="J217" i="2"/>
  <c r="J80" i="2"/>
  <c r="J218" i="2"/>
  <c r="J86" i="2"/>
  <c r="J219" i="2"/>
  <c r="J220" i="2"/>
  <c r="J92" i="2"/>
  <c r="J98" i="2"/>
  <c r="J221" i="2"/>
  <c r="Y221" i="2" s="1"/>
  <c r="J222" i="2"/>
  <c r="J110" i="2"/>
  <c r="J104" i="2"/>
  <c r="J223" i="2"/>
  <c r="Y223" i="2" s="1"/>
  <c r="J224" i="2"/>
  <c r="J225" i="2"/>
  <c r="J116" i="2"/>
  <c r="J226" i="2"/>
  <c r="J227" i="2"/>
  <c r="J134" i="2"/>
  <c r="J122" i="2"/>
  <c r="J128" i="2"/>
  <c r="J228" i="2"/>
  <c r="J140" i="2"/>
  <c r="J146" i="2"/>
  <c r="J229" i="2"/>
  <c r="J230" i="2"/>
  <c r="J152" i="2"/>
  <c r="J158" i="2"/>
  <c r="J164" i="2"/>
  <c r="J170" i="2"/>
  <c r="J176" i="2"/>
  <c r="J182" i="2"/>
  <c r="J188" i="2"/>
  <c r="J194" i="2"/>
  <c r="J200" i="2"/>
  <c r="S2" i="2"/>
  <c r="P2" i="2" s="1"/>
  <c r="J2" i="2"/>
  <c r="H2" i="2" s="1"/>
  <c r="S63" i="2"/>
  <c r="J64" i="2"/>
  <c r="S67" i="2"/>
  <c r="J65" i="2"/>
  <c r="J73" i="2"/>
  <c r="S49" i="2"/>
  <c r="S41" i="2"/>
  <c r="J58" i="2"/>
  <c r="J61" i="2"/>
  <c r="J47" i="2"/>
  <c r="J55" i="2"/>
  <c r="J43" i="2"/>
  <c r="J42" i="2"/>
  <c r="J46" i="2"/>
  <c r="J45" i="2"/>
  <c r="S32" i="2"/>
  <c r="S35" i="2"/>
  <c r="J13" i="2"/>
  <c r="J30" i="2"/>
  <c r="S31" i="2"/>
  <c r="J7" i="2"/>
  <c r="S16" i="2"/>
  <c r="S36" i="2"/>
  <c r="J12" i="2"/>
  <c r="J14" i="2"/>
  <c r="S20" i="2"/>
  <c r="J29" i="2"/>
  <c r="S4" i="2"/>
  <c r="S23" i="2"/>
  <c r="J17" i="2"/>
  <c r="J26" i="2"/>
  <c r="S9" i="2"/>
  <c r="J3" i="2"/>
  <c r="J70" i="2"/>
  <c r="S72" i="2"/>
  <c r="J60" i="2"/>
  <c r="S55" i="2"/>
  <c r="S46" i="2"/>
  <c r="J35" i="2"/>
  <c r="J31" i="2"/>
  <c r="J36" i="2"/>
  <c r="J20" i="2"/>
  <c r="J23" i="2"/>
  <c r="J9" i="2"/>
  <c r="J63" i="2"/>
  <c r="S64" i="2"/>
  <c r="J67" i="2"/>
  <c r="S65" i="2"/>
  <c r="S73" i="2"/>
  <c r="J49" i="2"/>
  <c r="J41" i="2"/>
  <c r="S58" i="2"/>
  <c r="S61" i="2"/>
  <c r="J54" i="2"/>
  <c r="S40" i="2"/>
  <c r="S39" i="2"/>
  <c r="S48" i="2"/>
  <c r="J53" i="2"/>
  <c r="J57" i="2"/>
  <c r="J10" i="2"/>
  <c r="J28" i="2"/>
  <c r="S34" i="2"/>
  <c r="J24" i="2"/>
  <c r="J27" i="2"/>
  <c r="S38" i="2"/>
  <c r="J5" i="2"/>
  <c r="S11" i="2"/>
  <c r="S33" i="2"/>
  <c r="J15" i="2"/>
  <c r="S25" i="2"/>
  <c r="S18" i="2"/>
  <c r="S8" i="2"/>
  <c r="S21" i="2"/>
  <c r="S6" i="2"/>
  <c r="J19" i="2"/>
  <c r="S37" i="2"/>
  <c r="S22" i="2"/>
  <c r="S69" i="2"/>
  <c r="J59" i="2"/>
  <c r="J51" i="2"/>
  <c r="S42" i="2"/>
  <c r="J32" i="2"/>
  <c r="S30" i="2"/>
  <c r="S7" i="2"/>
  <c r="S12" i="2"/>
  <c r="S29" i="2"/>
  <c r="S17" i="2"/>
  <c r="S3" i="2"/>
  <c r="S66" i="2"/>
  <c r="S70" i="2"/>
  <c r="J69" i="2"/>
  <c r="J71" i="2"/>
  <c r="J72" i="2"/>
  <c r="S59" i="2"/>
  <c r="S52" i="2"/>
  <c r="S60" i="2"/>
  <c r="S51" i="2"/>
  <c r="S54" i="2"/>
  <c r="J40" i="2"/>
  <c r="J39" i="2"/>
  <c r="J48" i="2"/>
  <c r="S53" i="2"/>
  <c r="S57" i="2"/>
  <c r="S10" i="2"/>
  <c r="S28" i="2"/>
  <c r="J34" i="2"/>
  <c r="S24" i="2"/>
  <c r="S27" i="2"/>
  <c r="J38" i="2"/>
  <c r="S5" i="2"/>
  <c r="J11" i="2"/>
  <c r="J33" i="2"/>
  <c r="S15" i="2"/>
  <c r="J25" i="2"/>
  <c r="J18" i="2"/>
  <c r="J8" i="2"/>
  <c r="J21" i="2"/>
  <c r="J6" i="2"/>
  <c r="S19" i="2"/>
  <c r="J37" i="2"/>
  <c r="J22" i="2"/>
  <c r="J66" i="2"/>
  <c r="S71" i="2"/>
  <c r="J52" i="2"/>
  <c r="S47" i="2"/>
  <c r="S43" i="2"/>
  <c r="S45" i="2"/>
  <c r="S13" i="2"/>
  <c r="J16" i="2"/>
  <c r="S14" i="2"/>
  <c r="J4" i="2"/>
  <c r="S26" i="2"/>
  <c r="J44" i="2"/>
  <c r="S44" i="2"/>
  <c r="J50" i="2"/>
  <c r="S50" i="2"/>
  <c r="S56" i="2"/>
  <c r="J56" i="2"/>
  <c r="S62" i="2"/>
  <c r="J62" i="2"/>
  <c r="S68" i="2"/>
  <c r="J68" i="2"/>
  <c r="Y96" i="2" l="1"/>
  <c r="B101" i="6" s="1"/>
  <c r="Y141" i="2"/>
  <c r="B146" i="6" s="1"/>
  <c r="Y195" i="2"/>
  <c r="Y181" i="2"/>
  <c r="B186" i="6" s="1"/>
  <c r="Y92" i="2"/>
  <c r="B97" i="6" s="1"/>
  <c r="Y91" i="2"/>
  <c r="B96" i="6" s="1"/>
  <c r="Y227" i="2"/>
  <c r="Y183" i="2"/>
  <c r="B188" i="6" s="1"/>
  <c r="Y180" i="2"/>
  <c r="B185" i="6" s="1"/>
  <c r="Y161" i="2"/>
  <c r="B166" i="6" s="1"/>
  <c r="Y150" i="2"/>
  <c r="B155" i="6" s="1"/>
  <c r="Y129" i="2"/>
  <c r="B134" i="6" s="1"/>
  <c r="Y9" i="2"/>
  <c r="B14" i="6" s="1"/>
  <c r="Y197" i="2"/>
  <c r="H164" i="2"/>
  <c r="L230" i="2"/>
  <c r="Y76" i="2"/>
  <c r="B81" i="6" s="1"/>
  <c r="H122" i="2"/>
  <c r="H176" i="2"/>
  <c r="H189" i="2"/>
  <c r="H168" i="2"/>
  <c r="H132" i="2"/>
  <c r="H191" i="2"/>
  <c r="H126" i="2"/>
  <c r="H130" i="2"/>
  <c r="H180" i="2"/>
  <c r="H181" i="2"/>
  <c r="H144" i="2"/>
  <c r="H133" i="2"/>
  <c r="H123" i="2"/>
  <c r="H156" i="2"/>
  <c r="H178" i="2"/>
  <c r="H91" i="2"/>
  <c r="M2" i="2"/>
  <c r="H80" i="2"/>
  <c r="H95" i="2"/>
  <c r="H78" i="2"/>
  <c r="H77" i="2"/>
  <c r="H92" i="2"/>
  <c r="H93" i="2"/>
  <c r="H75" i="2"/>
  <c r="H88" i="2"/>
  <c r="H94" i="2"/>
  <c r="H76" i="2"/>
  <c r="H97" i="2"/>
  <c r="H86" i="2"/>
  <c r="H96" i="2"/>
  <c r="H81" i="2"/>
  <c r="H74" i="2"/>
  <c r="H87" i="2"/>
  <c r="H82" i="2"/>
  <c r="H84" i="2"/>
  <c r="H79" i="2"/>
  <c r="H89" i="2"/>
  <c r="H83" i="2"/>
  <c r="H90" i="2"/>
  <c r="H85" i="2"/>
  <c r="H98" i="2"/>
  <c r="H100" i="2"/>
  <c r="H120" i="2"/>
  <c r="H111" i="2"/>
  <c r="H101" i="2"/>
  <c r="H108" i="2"/>
  <c r="H113" i="2"/>
  <c r="H102" i="2"/>
  <c r="H107" i="2"/>
  <c r="H119" i="2"/>
  <c r="H110" i="2"/>
  <c r="H109" i="2"/>
  <c r="H99" i="2"/>
  <c r="H103" i="2"/>
  <c r="H121" i="2"/>
  <c r="H106" i="2"/>
  <c r="H115" i="2"/>
  <c r="H117" i="2"/>
  <c r="H112" i="2"/>
  <c r="H116" i="2"/>
  <c r="H118" i="2"/>
  <c r="H114" i="2"/>
  <c r="H104" i="2"/>
  <c r="H105" i="2"/>
  <c r="H175" i="2"/>
  <c r="H136" i="2"/>
  <c r="H183" i="2"/>
  <c r="H139" i="2"/>
  <c r="H146" i="2"/>
  <c r="H186" i="2"/>
  <c r="H149" i="2"/>
  <c r="H147" i="2"/>
  <c r="H163" i="2"/>
  <c r="H157" i="2"/>
  <c r="H137" i="2"/>
  <c r="H135" i="2"/>
  <c r="H165" i="2"/>
  <c r="H172" i="2"/>
  <c r="H182" i="2"/>
  <c r="H162" i="2"/>
  <c r="H159" i="2"/>
  <c r="H185" i="2"/>
  <c r="H141" i="2"/>
  <c r="H148" i="2"/>
  <c r="H169" i="2"/>
  <c r="H170" i="2"/>
  <c r="H152" i="2"/>
  <c r="H153" i="2"/>
  <c r="H161" i="2"/>
  <c r="H166" i="2"/>
  <c r="H167" i="2"/>
  <c r="H134" i="2"/>
  <c r="H174" i="2"/>
  <c r="H151" i="2"/>
  <c r="H142" i="2"/>
  <c r="H187" i="2"/>
  <c r="H158" i="2"/>
  <c r="H160" i="2"/>
  <c r="H184" i="2"/>
  <c r="H145" i="2"/>
  <c r="H171" i="2"/>
  <c r="H154" i="2"/>
  <c r="H173" i="2"/>
  <c r="H150" i="2"/>
  <c r="H138" i="2"/>
  <c r="C143" i="6" s="1"/>
  <c r="H127" i="2"/>
  <c r="H125" i="2"/>
  <c r="H177" i="2"/>
  <c r="H140" i="2"/>
  <c r="H128" i="2"/>
  <c r="H190" i="2"/>
  <c r="H188" i="2"/>
  <c r="H124" i="2"/>
  <c r="H143" i="2"/>
  <c r="H155" i="2"/>
  <c r="H131" i="2"/>
  <c r="H192" i="2"/>
  <c r="H129" i="2"/>
  <c r="H193" i="2"/>
  <c r="H179" i="2"/>
  <c r="H6" i="2"/>
  <c r="C11" i="6" s="1"/>
  <c r="H5" i="2"/>
  <c r="C10" i="6" s="1"/>
  <c r="H3" i="2"/>
  <c r="C8" i="6" s="1"/>
  <c r="H4" i="2"/>
  <c r="C9" i="6" s="1"/>
  <c r="H13" i="2"/>
  <c r="C18" i="6" s="1"/>
  <c r="H70" i="2"/>
  <c r="C75" i="6" s="1"/>
  <c r="H48" i="2"/>
  <c r="C53" i="6" s="1"/>
  <c r="H42" i="2"/>
  <c r="C47" i="6" s="1"/>
  <c r="H21" i="2"/>
  <c r="C26" i="6" s="1"/>
  <c r="H17" i="2"/>
  <c r="C22" i="6" s="1"/>
  <c r="H67" i="2"/>
  <c r="C72" i="6" s="1"/>
  <c r="H57" i="2"/>
  <c r="C62" i="6" s="1"/>
  <c r="H32" i="2"/>
  <c r="C37" i="6" s="1"/>
  <c r="H23" i="2"/>
  <c r="C28" i="6" s="1"/>
  <c r="H63" i="2"/>
  <c r="C68" i="6" s="1"/>
  <c r="H50" i="2"/>
  <c r="C55" i="6" s="1"/>
  <c r="H20" i="2"/>
  <c r="C25" i="6" s="1"/>
  <c r="H71" i="2"/>
  <c r="C76" i="6" s="1"/>
  <c r="H51" i="2"/>
  <c r="C56" i="6" s="1"/>
  <c r="H44" i="2"/>
  <c r="C49" i="6" s="1"/>
  <c r="H9" i="2"/>
  <c r="C14" i="6" s="1"/>
  <c r="H73" i="2"/>
  <c r="C78" i="6" s="1"/>
  <c r="H41" i="2"/>
  <c r="C46" i="6" s="1"/>
  <c r="H36" i="2"/>
  <c r="C41" i="6" s="1"/>
  <c r="H31" i="2"/>
  <c r="C36" i="6" s="1"/>
  <c r="H10" i="2"/>
  <c r="C15" i="6" s="1"/>
  <c r="H66" i="2"/>
  <c r="C71" i="6" s="1"/>
  <c r="H54" i="2"/>
  <c r="C59" i="6" s="1"/>
  <c r="H34" i="2"/>
  <c r="C39" i="6" s="1"/>
  <c r="H16" i="2"/>
  <c r="C21" i="6" s="1"/>
  <c r="H69" i="2"/>
  <c r="C74" i="6" s="1"/>
  <c r="H59" i="2"/>
  <c r="C64" i="6" s="1"/>
  <c r="H49" i="2"/>
  <c r="C54" i="6" s="1"/>
  <c r="H22" i="2"/>
  <c r="C27" i="6" s="1"/>
  <c r="H12" i="2"/>
  <c r="C17" i="6" s="1"/>
  <c r="H64" i="2"/>
  <c r="C69" i="6" s="1"/>
  <c r="H45" i="2"/>
  <c r="C50" i="6" s="1"/>
  <c r="H28" i="2"/>
  <c r="C33" i="6" s="1"/>
  <c r="H7" i="2"/>
  <c r="C12" i="6" s="1"/>
  <c r="H58" i="2"/>
  <c r="C63" i="6" s="1"/>
  <c r="H43" i="2"/>
  <c r="C48" i="6" s="1"/>
  <c r="H37" i="2"/>
  <c r="C42" i="6" s="1"/>
  <c r="H15" i="2"/>
  <c r="C20" i="6" s="1"/>
  <c r="H18" i="2"/>
  <c r="C23" i="6" s="1"/>
  <c r="H62" i="2"/>
  <c r="C67" i="6" s="1"/>
  <c r="H38" i="2"/>
  <c r="C43" i="6" s="1"/>
  <c r="H29" i="2"/>
  <c r="C34" i="6" s="1"/>
  <c r="H14" i="2"/>
  <c r="C19" i="6" s="1"/>
  <c r="H68" i="2"/>
  <c r="C73" i="6" s="1"/>
  <c r="H56" i="2"/>
  <c r="C61" i="6" s="1"/>
  <c r="H33" i="2"/>
  <c r="C38" i="6" s="1"/>
  <c r="H27" i="2"/>
  <c r="C32" i="6" s="1"/>
  <c r="H11" i="2"/>
  <c r="C16" i="6" s="1"/>
  <c r="H61" i="2"/>
  <c r="C66" i="6" s="1"/>
  <c r="H47" i="2"/>
  <c r="C52" i="6" s="1"/>
  <c r="H24" i="2"/>
  <c r="C29" i="6" s="1"/>
  <c r="H53" i="2"/>
  <c r="C58" i="6" s="1"/>
  <c r="H40" i="2"/>
  <c r="C45" i="6" s="1"/>
  <c r="H25" i="2"/>
  <c r="C30" i="6" s="1"/>
  <c r="H60" i="2"/>
  <c r="C65" i="6" s="1"/>
  <c r="H39" i="2"/>
  <c r="C44" i="6" s="1"/>
  <c r="H30" i="2"/>
  <c r="C35" i="6" s="1"/>
  <c r="H65" i="2"/>
  <c r="C70" i="6" s="1"/>
  <c r="H52" i="2"/>
  <c r="C57" i="6" s="1"/>
  <c r="H35" i="2"/>
  <c r="C40" i="6" s="1"/>
  <c r="H19" i="2"/>
  <c r="C24" i="6" s="1"/>
  <c r="H72" i="2"/>
  <c r="C77" i="6" s="1"/>
  <c r="H55" i="2"/>
  <c r="C60" i="6" s="1"/>
  <c r="H46" i="2"/>
  <c r="C51" i="6" s="1"/>
  <c r="H26" i="2"/>
  <c r="C31" i="6" s="1"/>
  <c r="H8" i="2"/>
  <c r="C13" i="6" s="1"/>
  <c r="Y172" i="2"/>
  <c r="B177" i="6" s="1"/>
  <c r="C36" i="3"/>
  <c r="C40" i="3"/>
  <c r="C37" i="3"/>
  <c r="C39" i="3"/>
  <c r="C38" i="3"/>
  <c r="Y208" i="2"/>
  <c r="Y75" i="2"/>
  <c r="B80" i="6" s="1"/>
  <c r="Y225" i="2"/>
  <c r="Y216" i="2"/>
  <c r="Y207" i="2"/>
  <c r="Y122" i="2"/>
  <c r="B127" i="6" s="1"/>
  <c r="Y116" i="2"/>
  <c r="B121" i="6" s="1"/>
  <c r="Y101" i="2"/>
  <c r="B106" i="6" s="1"/>
  <c r="Y118" i="2"/>
  <c r="B123" i="6" s="1"/>
  <c r="Y137" i="2"/>
  <c r="B142" i="6" s="1"/>
  <c r="Y113" i="2"/>
  <c r="B118" i="6" s="1"/>
  <c r="Y203" i="2"/>
  <c r="Y199" i="2"/>
  <c r="Y210" i="2"/>
  <c r="Y130" i="2"/>
  <c r="B135" i="6" s="1"/>
  <c r="Y160" i="2"/>
  <c r="B165" i="6" s="1"/>
  <c r="Y209" i="2"/>
  <c r="Y213" i="2"/>
  <c r="Y108" i="2"/>
  <c r="B113" i="6" s="1"/>
  <c r="Y148" i="2"/>
  <c r="B153" i="6" s="1"/>
  <c r="Y166" i="2"/>
  <c r="B171" i="6" s="1"/>
  <c r="Y99" i="2"/>
  <c r="B104" i="6" s="1"/>
  <c r="Y103" i="2"/>
  <c r="B108" i="6" s="1"/>
  <c r="Y169" i="2"/>
  <c r="B174" i="6" s="1"/>
  <c r="Y196" i="2"/>
  <c r="Y202" i="2"/>
  <c r="Y190" i="2"/>
  <c r="B195" i="6" s="1"/>
  <c r="AQ8" i="1"/>
  <c r="AQ3" i="1" s="1"/>
  <c r="AQ10" i="1"/>
  <c r="AR10" i="1" s="1"/>
  <c r="AP14" i="1"/>
  <c r="AQ14" i="1" s="1"/>
  <c r="AR14" i="1" s="1"/>
  <c r="Y230" i="2"/>
  <c r="Y228" i="2"/>
  <c r="Y212" i="2"/>
  <c r="Y226" i="2"/>
  <c r="Y219" i="2"/>
  <c r="Y217" i="2"/>
  <c r="Y214" i="2"/>
  <c r="Y211" i="2"/>
  <c r="Y104" i="2"/>
  <c r="B109" i="6" s="1"/>
  <c r="Y159" i="2"/>
  <c r="B164" i="6" s="1"/>
  <c r="Y144" i="2"/>
  <c r="B149" i="6" s="1"/>
  <c r="Y112" i="2"/>
  <c r="B117" i="6" s="1"/>
  <c r="Y149" i="2"/>
  <c r="B154" i="6" s="1"/>
  <c r="Y93" i="2"/>
  <c r="B98" i="6" s="1"/>
  <c r="Y115" i="2"/>
  <c r="B120" i="6" s="1"/>
  <c r="Y218" i="2"/>
  <c r="Y224" i="2"/>
  <c r="Y222" i="2"/>
  <c r="Y220" i="2"/>
  <c r="Y215" i="2"/>
  <c r="Y229" i="2"/>
  <c r="Q2" i="2"/>
  <c r="R2" i="2" s="1"/>
  <c r="D7" i="6" s="1"/>
  <c r="Y100" i="2"/>
  <c r="B105" i="6" s="1"/>
  <c r="Y182" i="2"/>
  <c r="B187" i="6" s="1"/>
  <c r="Y158" i="2"/>
  <c r="B163" i="6" s="1"/>
  <c r="Y146" i="2"/>
  <c r="B151" i="6" s="1"/>
  <c r="Y98" i="2"/>
  <c r="B103" i="6" s="1"/>
  <c r="Y86" i="2"/>
  <c r="B91" i="6" s="1"/>
  <c r="Y74" i="2"/>
  <c r="B79" i="6" s="1"/>
  <c r="Y110" i="2"/>
  <c r="B115" i="6" s="1"/>
  <c r="Y106" i="2"/>
  <c r="B111" i="6" s="1"/>
  <c r="Y8" i="2"/>
  <c r="B13" i="6" s="1"/>
  <c r="Y200" i="2"/>
  <c r="Y176" i="2"/>
  <c r="B181" i="6" s="1"/>
  <c r="Y152" i="2"/>
  <c r="B157" i="6" s="1"/>
  <c r="Y140" i="2"/>
  <c r="B145" i="6" s="1"/>
  <c r="Y124" i="2"/>
  <c r="B129" i="6" s="1"/>
  <c r="Y127" i="2"/>
  <c r="B132" i="6" s="1"/>
  <c r="Y177" i="2"/>
  <c r="B182" i="6" s="1"/>
  <c r="Y175" i="2"/>
  <c r="B180" i="6" s="1"/>
  <c r="Y201" i="2"/>
  <c r="Y204" i="2"/>
  <c r="Y94" i="2"/>
  <c r="B99" i="6" s="1"/>
  <c r="Y174" i="2"/>
  <c r="B179" i="6" s="1"/>
  <c r="Y123" i="2"/>
  <c r="B128" i="6" s="1"/>
  <c r="Y80" i="2"/>
  <c r="B85" i="6" s="1"/>
  <c r="Y185" i="2"/>
  <c r="B190" i="6" s="1"/>
  <c r="Y193" i="2"/>
  <c r="B198" i="6" s="1"/>
  <c r="Y89" i="2"/>
  <c r="B94" i="6" s="1"/>
  <c r="Y84" i="2"/>
  <c r="B89" i="6" s="1"/>
  <c r="Y156" i="2"/>
  <c r="B161" i="6" s="1"/>
  <c r="Y206" i="2"/>
  <c r="Y163" i="2"/>
  <c r="B168" i="6" s="1"/>
  <c r="Y87" i="2"/>
  <c r="B92" i="6" s="1"/>
  <c r="Y154" i="2"/>
  <c r="B159" i="6" s="1"/>
  <c r="Y178" i="2"/>
  <c r="B183" i="6" s="1"/>
  <c r="Y188" i="2"/>
  <c r="B193" i="6" s="1"/>
  <c r="Y164" i="2"/>
  <c r="B169" i="6" s="1"/>
  <c r="Y105" i="2"/>
  <c r="B110" i="6" s="1"/>
  <c r="Y82" i="2"/>
  <c r="B87" i="6" s="1"/>
  <c r="Y179" i="2"/>
  <c r="B184" i="6" s="1"/>
  <c r="Y142" i="2"/>
  <c r="B147" i="6" s="1"/>
  <c r="Y79" i="2"/>
  <c r="B84" i="6" s="1"/>
  <c r="Y205" i="2"/>
  <c r="Y162" i="2"/>
  <c r="B167" i="6" s="1"/>
  <c r="Y81" i="2"/>
  <c r="B86" i="6" s="1"/>
  <c r="Y90" i="2"/>
  <c r="B95" i="6" s="1"/>
  <c r="Y114" i="2"/>
  <c r="B119" i="6" s="1"/>
  <c r="Y189" i="2"/>
  <c r="B194" i="6" s="1"/>
  <c r="Y135" i="2"/>
  <c r="B140" i="6" s="1"/>
  <c r="Y139" i="2"/>
  <c r="B144" i="6" s="1"/>
  <c r="Y184" i="2"/>
  <c r="B189" i="6" s="1"/>
  <c r="Y117" i="2"/>
  <c r="B122" i="6" s="1"/>
  <c r="Y134" i="2"/>
  <c r="B139" i="6" s="1"/>
  <c r="Y138" i="2"/>
  <c r="B143" i="6" s="1"/>
  <c r="Y167" i="2"/>
  <c r="B172" i="6" s="1"/>
  <c r="Y192" i="2"/>
  <c r="B197" i="6" s="1"/>
  <c r="Y147" i="2"/>
  <c r="B152" i="6" s="1"/>
  <c r="Y119" i="2"/>
  <c r="B124" i="6" s="1"/>
  <c r="Y85" i="2"/>
  <c r="B90" i="6" s="1"/>
  <c r="Y198" i="2"/>
  <c r="Y186" i="2"/>
  <c r="B191" i="6" s="1"/>
  <c r="Y121" i="2"/>
  <c r="B126" i="6" s="1"/>
  <c r="Y194" i="2"/>
  <c r="Y170" i="2"/>
  <c r="B175" i="6" s="1"/>
  <c r="Y168" i="2"/>
  <c r="B173" i="6" s="1"/>
  <c r="Y77" i="2"/>
  <c r="B82" i="6" s="1"/>
  <c r="Y133" i="2"/>
  <c r="B138" i="6" s="1"/>
  <c r="Y109" i="2"/>
  <c r="B114" i="6" s="1"/>
  <c r="Y165" i="2"/>
  <c r="B170" i="6" s="1"/>
  <c r="Y97" i="2"/>
  <c r="B102" i="6" s="1"/>
  <c r="Y120" i="2"/>
  <c r="B125" i="6" s="1"/>
  <c r="Y191" i="2"/>
  <c r="B196" i="6" s="1"/>
  <c r="Y187" i="2"/>
  <c r="B192" i="6" s="1"/>
  <c r="Y128" i="2"/>
  <c r="B133" i="6" s="1"/>
  <c r="Y151" i="2"/>
  <c r="B156" i="6" s="1"/>
  <c r="Y102" i="2"/>
  <c r="B107" i="6" s="1"/>
  <c r="Y83" i="2"/>
  <c r="B88" i="6" s="1"/>
  <c r="Y145" i="2"/>
  <c r="B150" i="6" s="1"/>
  <c r="Y4" i="2"/>
  <c r="B9" i="6" s="1"/>
  <c r="Y6" i="2"/>
  <c r="B11" i="6" s="1"/>
  <c r="Y56" i="2"/>
  <c r="B61" i="6" s="1"/>
  <c r="Y34" i="2"/>
  <c r="B39" i="6" s="1"/>
  <c r="Y53" i="2"/>
  <c r="B58" i="6" s="1"/>
  <c r="Y70" i="2"/>
  <c r="B75" i="6" s="1"/>
  <c r="Y46" i="2"/>
  <c r="B51" i="6" s="1"/>
  <c r="S231" i="2"/>
  <c r="Y44" i="2"/>
  <c r="B49" i="6" s="1"/>
  <c r="Y16" i="2"/>
  <c r="B21" i="6" s="1"/>
  <c r="Y22" i="2"/>
  <c r="B27" i="6" s="1"/>
  <c r="Y21" i="2"/>
  <c r="B26" i="6" s="1"/>
  <c r="Y38" i="2"/>
  <c r="B43" i="6" s="1"/>
  <c r="Y48" i="2"/>
  <c r="B53" i="6" s="1"/>
  <c r="Y72" i="2"/>
  <c r="B77" i="6" s="1"/>
  <c r="Y15" i="2"/>
  <c r="B20" i="6" s="1"/>
  <c r="Y28" i="2"/>
  <c r="B33" i="6" s="1"/>
  <c r="Y63" i="2"/>
  <c r="B68" i="6" s="1"/>
  <c r="Y36" i="2"/>
  <c r="B41" i="6" s="1"/>
  <c r="Y3" i="2"/>
  <c r="B8" i="6" s="1"/>
  <c r="Y14" i="2"/>
  <c r="B19" i="6" s="1"/>
  <c r="Y7" i="2"/>
  <c r="B12" i="6" s="1"/>
  <c r="Y42" i="2"/>
  <c r="B47" i="6" s="1"/>
  <c r="Y61" i="2"/>
  <c r="B66" i="6" s="1"/>
  <c r="Y73" i="2"/>
  <c r="B78" i="6" s="1"/>
  <c r="Y68" i="2"/>
  <c r="B73" i="6" s="1"/>
  <c r="Y25" i="2"/>
  <c r="B30" i="6" s="1"/>
  <c r="Y49" i="2"/>
  <c r="B54" i="6" s="1"/>
  <c r="Y20" i="2"/>
  <c r="B25" i="6" s="1"/>
  <c r="Y17" i="2"/>
  <c r="B22" i="6" s="1"/>
  <c r="Y13" i="2"/>
  <c r="B18" i="6" s="1"/>
  <c r="Y64" i="2"/>
  <c r="B69" i="6" s="1"/>
  <c r="Y62" i="2"/>
  <c r="B67" i="6" s="1"/>
  <c r="Y52" i="2"/>
  <c r="B57" i="6" s="1"/>
  <c r="Y37" i="2"/>
  <c r="B42" i="6" s="1"/>
  <c r="Y33" i="2"/>
  <c r="B38" i="6" s="1"/>
  <c r="Y39" i="2"/>
  <c r="B44" i="6" s="1"/>
  <c r="Y71" i="2"/>
  <c r="B76" i="6" s="1"/>
  <c r="Y51" i="2"/>
  <c r="B56" i="6" s="1"/>
  <c r="Y27" i="2"/>
  <c r="B32" i="6" s="1"/>
  <c r="Y10" i="2"/>
  <c r="B15" i="6" s="1"/>
  <c r="Y31" i="2"/>
  <c r="B36" i="6" s="1"/>
  <c r="Y60" i="2"/>
  <c r="B65" i="6" s="1"/>
  <c r="Y12" i="2"/>
  <c r="B17" i="6" s="1"/>
  <c r="Y43" i="2"/>
  <c r="B48" i="6" s="1"/>
  <c r="Y58" i="2"/>
  <c r="B63" i="6" s="1"/>
  <c r="Y65" i="2"/>
  <c r="B70" i="6" s="1"/>
  <c r="J231" i="2"/>
  <c r="Y66" i="2"/>
  <c r="B71" i="6" s="1"/>
  <c r="Y32" i="2"/>
  <c r="B37" i="6" s="1"/>
  <c r="Y5" i="2"/>
  <c r="B10" i="6" s="1"/>
  <c r="Y54" i="2"/>
  <c r="B59" i="6" s="1"/>
  <c r="Y47" i="2"/>
  <c r="B52" i="6" s="1"/>
  <c r="Y50" i="2"/>
  <c r="B55" i="6" s="1"/>
  <c r="Y18" i="2"/>
  <c r="B23" i="6" s="1"/>
  <c r="Y11" i="2"/>
  <c r="B16" i="6" s="1"/>
  <c r="Y40" i="2"/>
  <c r="B45" i="6" s="1"/>
  <c r="Y69" i="2"/>
  <c r="B74" i="6" s="1"/>
  <c r="Y59" i="2"/>
  <c r="B64" i="6" s="1"/>
  <c r="Y19" i="2"/>
  <c r="B24" i="6" s="1"/>
  <c r="Y24" i="2"/>
  <c r="B29" i="6" s="1"/>
  <c r="Y57" i="2"/>
  <c r="B62" i="6" s="1"/>
  <c r="Y41" i="2"/>
  <c r="B46" i="6" s="1"/>
  <c r="Y67" i="2"/>
  <c r="B72" i="6" s="1"/>
  <c r="Y23" i="2"/>
  <c r="B28" i="6" s="1"/>
  <c r="Y35" i="2"/>
  <c r="B40" i="6" s="1"/>
  <c r="Y26" i="2"/>
  <c r="B31" i="6" s="1"/>
  <c r="Y29" i="2"/>
  <c r="B34" i="6" s="1"/>
  <c r="Y30" i="2"/>
  <c r="B35" i="6" s="1"/>
  <c r="Y45" i="2"/>
  <c r="B50" i="6" s="1"/>
  <c r="Y55" i="2"/>
  <c r="B60" i="6" s="1"/>
  <c r="Y2" i="2"/>
  <c r="B7" i="6" s="1"/>
  <c r="M138" i="2" l="1"/>
  <c r="C7" i="6"/>
  <c r="C184" i="6"/>
  <c r="M179" i="2"/>
  <c r="C182" i="6"/>
  <c r="M177" i="2"/>
  <c r="C150" i="6"/>
  <c r="M145" i="2"/>
  <c r="C139" i="6"/>
  <c r="M134" i="2"/>
  <c r="C158" i="6"/>
  <c r="M153" i="2"/>
  <c r="C167" i="6"/>
  <c r="M162" i="2"/>
  <c r="C140" i="6"/>
  <c r="M135" i="2"/>
  <c r="C152" i="6"/>
  <c r="M147" i="2"/>
  <c r="C144" i="6"/>
  <c r="M139" i="2"/>
  <c r="C110" i="6"/>
  <c r="M105" i="2"/>
  <c r="C121" i="6"/>
  <c r="M116" i="2"/>
  <c r="C111" i="6"/>
  <c r="M106" i="2"/>
  <c r="C116" i="6"/>
  <c r="M111" i="2"/>
  <c r="C90" i="6"/>
  <c r="M85" i="2"/>
  <c r="C84" i="6"/>
  <c r="M79" i="2"/>
  <c r="C79" i="6"/>
  <c r="M74" i="2"/>
  <c r="C102" i="6"/>
  <c r="M97" i="2"/>
  <c r="C80" i="6"/>
  <c r="M75" i="2"/>
  <c r="C83" i="6"/>
  <c r="M78" i="2"/>
  <c r="C96" i="6"/>
  <c r="M91" i="2"/>
  <c r="C138" i="6"/>
  <c r="M133" i="2"/>
  <c r="C135" i="6"/>
  <c r="M130" i="2"/>
  <c r="C173" i="6"/>
  <c r="M168" i="2"/>
  <c r="C198" i="6"/>
  <c r="M193" i="2"/>
  <c r="C160" i="6"/>
  <c r="M155" i="2"/>
  <c r="C195" i="6"/>
  <c r="M190" i="2"/>
  <c r="C130" i="6"/>
  <c r="M125" i="2"/>
  <c r="C178" i="6"/>
  <c r="M173" i="2"/>
  <c r="C189" i="6"/>
  <c r="M184" i="2"/>
  <c r="C147" i="6"/>
  <c r="M142" i="2"/>
  <c r="C172" i="6"/>
  <c r="M167" i="2"/>
  <c r="C157" i="6"/>
  <c r="M152" i="2"/>
  <c r="C146" i="6"/>
  <c r="M141" i="2"/>
  <c r="C187" i="6"/>
  <c r="M182" i="2"/>
  <c r="C142" i="6"/>
  <c r="M137" i="2"/>
  <c r="C154" i="6"/>
  <c r="M149" i="2"/>
  <c r="C188" i="6"/>
  <c r="M183" i="2"/>
  <c r="C109" i="6"/>
  <c r="M104" i="2"/>
  <c r="C117" i="6"/>
  <c r="M112" i="2"/>
  <c r="C126" i="6"/>
  <c r="M121" i="2"/>
  <c r="C115" i="6"/>
  <c r="M110" i="2"/>
  <c r="C118" i="6"/>
  <c r="M113" i="2"/>
  <c r="C125" i="6"/>
  <c r="M120" i="2"/>
  <c r="C95" i="6"/>
  <c r="M90" i="2"/>
  <c r="C89" i="6"/>
  <c r="M84" i="2"/>
  <c r="C86" i="6"/>
  <c r="M81" i="2"/>
  <c r="C81" i="6"/>
  <c r="M76" i="2"/>
  <c r="C98" i="6"/>
  <c r="M93" i="2"/>
  <c r="C100" i="6"/>
  <c r="M95" i="2"/>
  <c r="C183" i="6"/>
  <c r="M178" i="2"/>
  <c r="C149" i="6"/>
  <c r="M144" i="2"/>
  <c r="C131" i="6"/>
  <c r="M126" i="2"/>
  <c r="C194" i="6"/>
  <c r="M189" i="2"/>
  <c r="C136" i="6"/>
  <c r="M131" i="2"/>
  <c r="C114" i="6"/>
  <c r="M109" i="2"/>
  <c r="C134" i="6"/>
  <c r="M129" i="2"/>
  <c r="C148" i="6"/>
  <c r="M143" i="2"/>
  <c r="C133" i="6"/>
  <c r="M128" i="2"/>
  <c r="C132" i="6"/>
  <c r="M127" i="2"/>
  <c r="C159" i="6"/>
  <c r="M154" i="2"/>
  <c r="C165" i="6"/>
  <c r="M160" i="2"/>
  <c r="C156" i="6"/>
  <c r="M151" i="2"/>
  <c r="C171" i="6"/>
  <c r="M166" i="2"/>
  <c r="C175" i="6"/>
  <c r="M170" i="2"/>
  <c r="C190" i="6"/>
  <c r="M185" i="2"/>
  <c r="C177" i="6"/>
  <c r="M172" i="2"/>
  <c r="C162" i="6"/>
  <c r="M157" i="2"/>
  <c r="C191" i="6"/>
  <c r="M186" i="2"/>
  <c r="C141" i="6"/>
  <c r="M136" i="2"/>
  <c r="C119" i="6"/>
  <c r="M114" i="2"/>
  <c r="C122" i="6"/>
  <c r="M117" i="2"/>
  <c r="C108" i="6"/>
  <c r="M103" i="2"/>
  <c r="C124" i="6"/>
  <c r="M119" i="2"/>
  <c r="C113" i="6"/>
  <c r="M108" i="2"/>
  <c r="C105" i="6"/>
  <c r="M100" i="2"/>
  <c r="C88" i="6"/>
  <c r="M83" i="2"/>
  <c r="C87" i="6"/>
  <c r="M82" i="2"/>
  <c r="C101" i="6"/>
  <c r="M96" i="2"/>
  <c r="C99" i="6"/>
  <c r="M94" i="2"/>
  <c r="C97" i="6"/>
  <c r="M92" i="2"/>
  <c r="C85" i="6"/>
  <c r="M80" i="2"/>
  <c r="C161" i="6"/>
  <c r="M156" i="2"/>
  <c r="C186" i="6"/>
  <c r="M181" i="2"/>
  <c r="C196" i="6"/>
  <c r="M191" i="2"/>
  <c r="C181" i="6"/>
  <c r="M176" i="2"/>
  <c r="C169" i="6"/>
  <c r="M164" i="2"/>
  <c r="C193" i="6"/>
  <c r="M188" i="2"/>
  <c r="C155" i="6"/>
  <c r="M150" i="2"/>
  <c r="C192" i="6"/>
  <c r="M187" i="2"/>
  <c r="C153" i="6"/>
  <c r="M148" i="2"/>
  <c r="C107" i="6"/>
  <c r="M102" i="2"/>
  <c r="C197" i="6"/>
  <c r="M192" i="2"/>
  <c r="C129" i="6"/>
  <c r="M124" i="2"/>
  <c r="C145" i="6"/>
  <c r="M140" i="2"/>
  <c r="C176" i="6"/>
  <c r="M171" i="2"/>
  <c r="C163" i="6"/>
  <c r="M158" i="2"/>
  <c r="C179" i="6"/>
  <c r="M174" i="2"/>
  <c r="C166" i="6"/>
  <c r="M161" i="2"/>
  <c r="C174" i="6"/>
  <c r="M169" i="2"/>
  <c r="C164" i="6"/>
  <c r="M159" i="2"/>
  <c r="C170" i="6"/>
  <c r="M165" i="2"/>
  <c r="C168" i="6"/>
  <c r="M163" i="2"/>
  <c r="C151" i="6"/>
  <c r="M146" i="2"/>
  <c r="C180" i="6"/>
  <c r="M175" i="2"/>
  <c r="C123" i="6"/>
  <c r="M118" i="2"/>
  <c r="C120" i="6"/>
  <c r="M115" i="2"/>
  <c r="C104" i="6"/>
  <c r="M99" i="2"/>
  <c r="C112" i="6"/>
  <c r="M107" i="2"/>
  <c r="C106" i="6"/>
  <c r="M101" i="2"/>
  <c r="C103" i="6"/>
  <c r="M98" i="2"/>
  <c r="C94" i="6"/>
  <c r="M89" i="2"/>
  <c r="C92" i="6"/>
  <c r="M87" i="2"/>
  <c r="C91" i="6"/>
  <c r="M86" i="2"/>
  <c r="C93" i="6"/>
  <c r="M88" i="2"/>
  <c r="C82" i="6"/>
  <c r="M77" i="2"/>
  <c r="C128" i="6"/>
  <c r="M123" i="2"/>
  <c r="C185" i="6"/>
  <c r="M180" i="2"/>
  <c r="C137" i="6"/>
  <c r="M132" i="2"/>
  <c r="C127" i="6"/>
  <c r="M122" i="2"/>
  <c r="C32" i="3"/>
  <c r="C23" i="3"/>
  <c r="C26" i="3"/>
  <c r="C25" i="3"/>
  <c r="C24" i="3"/>
  <c r="C34" i="3"/>
  <c r="C28" i="3"/>
  <c r="C31" i="3"/>
  <c r="C18" i="3"/>
  <c r="C29" i="3"/>
  <c r="C27" i="3"/>
  <c r="C19" i="3"/>
  <c r="C17" i="3"/>
  <c r="C22" i="3"/>
  <c r="C30" i="3"/>
  <c r="C33" i="3"/>
  <c r="C20" i="3"/>
  <c r="C21" i="3"/>
  <c r="N2" i="2"/>
  <c r="M8" i="2"/>
  <c r="M72" i="2"/>
  <c r="M65" i="2"/>
  <c r="M60" i="2"/>
  <c r="M40" i="2"/>
  <c r="M47" i="2"/>
  <c r="M33" i="2"/>
  <c r="M29" i="2"/>
  <c r="M15" i="2"/>
  <c r="M7" i="2"/>
  <c r="M12" i="2"/>
  <c r="M69" i="2"/>
  <c r="M66" i="2"/>
  <c r="M41" i="2"/>
  <c r="M51" i="2"/>
  <c r="M57" i="2"/>
  <c r="M42" i="2"/>
  <c r="AA2" i="2"/>
  <c r="G7" i="6" s="1"/>
  <c r="M19" i="2"/>
  <c r="M6" i="2"/>
  <c r="M4" i="2"/>
  <c r="M53" i="2"/>
  <c r="M61" i="2"/>
  <c r="M37" i="2"/>
  <c r="M28" i="2"/>
  <c r="M22" i="2"/>
  <c r="M16" i="2"/>
  <c r="M10" i="2"/>
  <c r="M73" i="2"/>
  <c r="M71" i="2"/>
  <c r="M63" i="2"/>
  <c r="M67" i="2"/>
  <c r="M48" i="2"/>
  <c r="M46" i="2"/>
  <c r="M35" i="2"/>
  <c r="M30" i="2"/>
  <c r="M5" i="2"/>
  <c r="M3" i="2"/>
  <c r="M11" i="2"/>
  <c r="M43" i="2"/>
  <c r="M45" i="2"/>
  <c r="M49" i="2"/>
  <c r="M34" i="2"/>
  <c r="M31" i="2"/>
  <c r="M9" i="2"/>
  <c r="M13" i="2"/>
  <c r="M23" i="2"/>
  <c r="M17" i="2"/>
  <c r="M70" i="2"/>
  <c r="M55" i="2"/>
  <c r="M52" i="2"/>
  <c r="M39" i="2"/>
  <c r="M25" i="2"/>
  <c r="M24" i="2"/>
  <c r="M27" i="2"/>
  <c r="M18" i="2"/>
  <c r="M58" i="2"/>
  <c r="M64" i="2"/>
  <c r="M59" i="2"/>
  <c r="M54" i="2"/>
  <c r="M36" i="2"/>
  <c r="M21" i="2"/>
  <c r="M26" i="2"/>
  <c r="M56" i="2"/>
  <c r="M38" i="2"/>
  <c r="M50" i="2"/>
  <c r="M68" i="2"/>
  <c r="M62" i="2"/>
  <c r="M14" i="2"/>
  <c r="M44" i="2"/>
  <c r="M20" i="2"/>
  <c r="M32" i="2"/>
  <c r="B25" i="3"/>
  <c r="C15" i="3"/>
  <c r="C16" i="3"/>
  <c r="C12" i="3"/>
  <c r="C11" i="3"/>
  <c r="C4" i="3"/>
  <c r="AQ12" i="1"/>
  <c r="AR12" i="1" s="1"/>
  <c r="B31" i="3"/>
  <c r="C6" i="3"/>
  <c r="C9" i="3"/>
  <c r="C13" i="3"/>
  <c r="C5" i="3"/>
  <c r="C14" i="3"/>
  <c r="C10" i="3"/>
  <c r="C8" i="3"/>
  <c r="C7" i="3"/>
  <c r="C3" i="3"/>
  <c r="B35" i="3"/>
  <c r="B37" i="3"/>
  <c r="B39" i="3"/>
  <c r="B3" i="3"/>
  <c r="B22" i="3"/>
  <c r="B23" i="3"/>
  <c r="B18" i="3"/>
  <c r="B7" i="3"/>
  <c r="B12" i="3"/>
  <c r="B30" i="3"/>
  <c r="B16" i="3"/>
  <c r="B32" i="3"/>
  <c r="B21" i="3"/>
  <c r="B27" i="3"/>
  <c r="B11" i="3"/>
  <c r="B8" i="3"/>
  <c r="B14" i="3"/>
  <c r="B34" i="3"/>
  <c r="B36" i="3"/>
  <c r="B15" i="3"/>
  <c r="B29" i="3"/>
  <c r="B40" i="3"/>
  <c r="B20" i="3"/>
  <c r="B13" i="3"/>
  <c r="B6" i="3"/>
  <c r="B5" i="3"/>
  <c r="B9" i="3"/>
  <c r="B10" i="3"/>
  <c r="B26" i="3"/>
  <c r="B4" i="3"/>
  <c r="B17" i="3"/>
  <c r="B33" i="3"/>
  <c r="B24" i="3"/>
  <c r="B28" i="3"/>
  <c r="B19" i="3"/>
  <c r="B38" i="3"/>
  <c r="T2" i="2"/>
  <c r="Z2" i="2" s="1"/>
  <c r="P3" i="2"/>
  <c r="P4" i="2" s="1"/>
  <c r="P5" i="2" s="1"/>
  <c r="P6" i="2" s="1"/>
  <c r="P7" i="2" s="1"/>
  <c r="P8" i="2" s="1"/>
  <c r="P9" i="2" s="1"/>
  <c r="P10" i="2" s="1"/>
  <c r="P11" i="2" s="1"/>
  <c r="P12" i="2" s="1"/>
  <c r="P13" i="2" s="1"/>
  <c r="P14" i="2" s="1"/>
  <c r="P15" i="2" s="1"/>
  <c r="P16" i="2" s="1"/>
  <c r="P17" i="2" s="1"/>
  <c r="P18" i="2" s="1"/>
  <c r="P19" i="2" s="1"/>
  <c r="P20" i="2" s="1"/>
  <c r="P21" i="2" s="1"/>
  <c r="P22" i="2" s="1"/>
  <c r="P23" i="2" s="1"/>
  <c r="P24" i="2" s="1"/>
  <c r="P25" i="2" s="1"/>
  <c r="P26" i="2" s="1"/>
  <c r="P27" i="2" s="1"/>
  <c r="P28" i="2" s="1"/>
  <c r="P29" i="2" s="1"/>
  <c r="P30" i="2" s="1"/>
  <c r="P31" i="2" s="1"/>
  <c r="P32" i="2" s="1"/>
  <c r="P33" i="2" s="1"/>
  <c r="P34" i="2" s="1"/>
  <c r="P35" i="2" s="1"/>
  <c r="P36" i="2" s="1"/>
  <c r="P37" i="2" s="1"/>
  <c r="P38" i="2" s="1"/>
  <c r="P39" i="2" s="1"/>
  <c r="P40" i="2" s="1"/>
  <c r="P41" i="2" s="1"/>
  <c r="P42" i="2" s="1"/>
  <c r="P43" i="2" s="1"/>
  <c r="P44" i="2" s="1"/>
  <c r="P45" i="2" s="1"/>
  <c r="P46" i="2" s="1"/>
  <c r="P47" i="2" s="1"/>
  <c r="P48" i="2" s="1"/>
  <c r="P49" i="2" s="1"/>
  <c r="P50" i="2" s="1"/>
  <c r="P51" i="2" s="1"/>
  <c r="P52" i="2" s="1"/>
  <c r="P53" i="2" s="1"/>
  <c r="P54" i="2" s="1"/>
  <c r="P55" i="2" s="1"/>
  <c r="P56" i="2" s="1"/>
  <c r="P57" i="2" s="1"/>
  <c r="P58" i="2" s="1"/>
  <c r="P59" i="2" s="1"/>
  <c r="P60" i="2" s="1"/>
  <c r="P61" i="2" s="1"/>
  <c r="P62" i="2" s="1"/>
  <c r="P63" i="2" s="1"/>
  <c r="P64" i="2" s="1"/>
  <c r="P65" i="2" s="1"/>
  <c r="P66" i="2" s="1"/>
  <c r="P67" i="2" s="1"/>
  <c r="P68" i="2" s="1"/>
  <c r="P69" i="2" s="1"/>
  <c r="P70" i="2" s="1"/>
  <c r="P71" i="2" s="1"/>
  <c r="P72" i="2" s="1"/>
  <c r="P73" i="2" s="1"/>
  <c r="P74" i="2" s="1"/>
  <c r="P75" i="2" s="1"/>
  <c r="P76" i="2" s="1"/>
  <c r="P77" i="2" s="1"/>
  <c r="P78" i="2" s="1"/>
  <c r="P79" i="2" s="1"/>
  <c r="P80" i="2" s="1"/>
  <c r="P81" i="2" s="1"/>
  <c r="P82" i="2" s="1"/>
  <c r="P83" i="2" s="1"/>
  <c r="P84" i="2" s="1"/>
  <c r="P85" i="2" s="1"/>
  <c r="P86" i="2" s="1"/>
  <c r="P87" i="2" s="1"/>
  <c r="P88" i="2" s="1"/>
  <c r="P89" i="2" s="1"/>
  <c r="P90" i="2" s="1"/>
  <c r="P91" i="2" s="1"/>
  <c r="P92" i="2" s="1"/>
  <c r="P93" i="2" s="1"/>
  <c r="P94" i="2" s="1"/>
  <c r="P95" i="2" s="1"/>
  <c r="P96" i="2" s="1"/>
  <c r="P97" i="2" s="1"/>
  <c r="P98" i="2" s="1"/>
  <c r="P99" i="2" s="1"/>
  <c r="P100" i="2" s="1"/>
  <c r="P101" i="2" s="1"/>
  <c r="P102" i="2" s="1"/>
  <c r="P103" i="2" s="1"/>
  <c r="P104" i="2" s="1"/>
  <c r="P105" i="2" s="1"/>
  <c r="P106" i="2" s="1"/>
  <c r="P107" i="2" s="1"/>
  <c r="P108" i="2" s="1"/>
  <c r="P109" i="2" s="1"/>
  <c r="P110" i="2" s="1"/>
  <c r="P111" i="2" s="1"/>
  <c r="P112" i="2" s="1"/>
  <c r="P113" i="2" s="1"/>
  <c r="P114" i="2" s="1"/>
  <c r="P115" i="2" s="1"/>
  <c r="P116" i="2" s="1"/>
  <c r="P117" i="2" s="1"/>
  <c r="P118" i="2" s="1"/>
  <c r="P119" i="2" s="1"/>
  <c r="P120" i="2" s="1"/>
  <c r="P121" i="2" s="1"/>
  <c r="P122" i="2" s="1"/>
  <c r="P123" i="2" s="1"/>
  <c r="P124" i="2" s="1"/>
  <c r="P125" i="2" s="1"/>
  <c r="P126" i="2" s="1"/>
  <c r="P127" i="2" s="1"/>
  <c r="P128" i="2" s="1"/>
  <c r="P129" i="2" s="1"/>
  <c r="P130" i="2" s="1"/>
  <c r="P131" i="2" s="1"/>
  <c r="P132" i="2" s="1"/>
  <c r="P133" i="2" s="1"/>
  <c r="P134" i="2" s="1"/>
  <c r="P135" i="2" s="1"/>
  <c r="P136" i="2" s="1"/>
  <c r="P137" i="2" s="1"/>
  <c r="P138" i="2" s="1"/>
  <c r="P139" i="2" s="1"/>
  <c r="P140" i="2" s="1"/>
  <c r="P141" i="2" s="1"/>
  <c r="P142" i="2" s="1"/>
  <c r="P143" i="2" s="1"/>
  <c r="P144" i="2" s="1"/>
  <c r="P145" i="2" s="1"/>
  <c r="P146" i="2" s="1"/>
  <c r="P147" i="2" s="1"/>
  <c r="P148" i="2" s="1"/>
  <c r="P149" i="2" s="1"/>
  <c r="P150" i="2" s="1"/>
  <c r="P151" i="2" s="1"/>
  <c r="P152" i="2" s="1"/>
  <c r="P153" i="2" s="1"/>
  <c r="P154" i="2" s="1"/>
  <c r="P155" i="2" s="1"/>
  <c r="P156" i="2" s="1"/>
  <c r="P157" i="2" s="1"/>
  <c r="P158" i="2" s="1"/>
  <c r="P159" i="2" s="1"/>
  <c r="P160" i="2" s="1"/>
  <c r="P161" i="2" s="1"/>
  <c r="P162" i="2" s="1"/>
  <c r="P163" i="2" s="1"/>
  <c r="P164" i="2" s="1"/>
  <c r="P165" i="2" s="1"/>
  <c r="P166" i="2" s="1"/>
  <c r="P167" i="2" s="1"/>
  <c r="P168" i="2" s="1"/>
  <c r="P169" i="2" s="1"/>
  <c r="P170" i="2" s="1"/>
  <c r="P171" i="2" s="1"/>
  <c r="P172" i="2" s="1"/>
  <c r="P173" i="2" s="1"/>
  <c r="P174" i="2" s="1"/>
  <c r="P175" i="2" s="1"/>
  <c r="P176" i="2" s="1"/>
  <c r="P177" i="2" s="1"/>
  <c r="P178" i="2" s="1"/>
  <c r="P179" i="2" s="1"/>
  <c r="P180" i="2" s="1"/>
  <c r="P181" i="2" s="1"/>
  <c r="P182" i="2" s="1"/>
  <c r="P183" i="2" s="1"/>
  <c r="P184" i="2" s="1"/>
  <c r="P185" i="2" s="1"/>
  <c r="P186" i="2" s="1"/>
  <c r="P187" i="2" s="1"/>
  <c r="P188" i="2" s="1"/>
  <c r="P189" i="2" s="1"/>
  <c r="P190" i="2" s="1"/>
  <c r="P191" i="2" s="1"/>
  <c r="P192" i="2" s="1"/>
  <c r="P193" i="2" s="1"/>
  <c r="P194" i="2" s="1"/>
  <c r="H231" i="2"/>
  <c r="C46" i="1" s="1"/>
  <c r="Y231" i="2"/>
  <c r="M231" i="2" l="1"/>
  <c r="C42" i="1"/>
  <c r="E42" i="1" s="1"/>
  <c r="G3" i="2"/>
  <c r="K3" i="2" s="1"/>
  <c r="P195" i="2"/>
  <c r="C41" i="3"/>
  <c r="B41" i="3"/>
  <c r="G44" i="1"/>
  <c r="I44" i="1" s="1"/>
  <c r="U2" i="2"/>
  <c r="F7" i="6" s="1"/>
  <c r="E46" i="1"/>
  <c r="I3" i="2" l="1"/>
  <c r="V2" i="2"/>
  <c r="Q3" i="2" s="1"/>
  <c r="R3" i="2" s="1"/>
  <c r="H7" i="6"/>
  <c r="P196" i="2"/>
  <c r="L3" i="2" l="1"/>
  <c r="N3" i="2" s="1"/>
  <c r="D8" i="6"/>
  <c r="AA3" i="2"/>
  <c r="G8" i="6" s="1"/>
  <c r="W2" i="2"/>
  <c r="AB2" i="2" s="1"/>
  <c r="P197" i="2"/>
  <c r="T3" i="2"/>
  <c r="Z3" i="2" s="1"/>
  <c r="G4" i="2" l="1"/>
  <c r="I4" i="2" s="1"/>
  <c r="P198" i="2"/>
  <c r="U3" i="2"/>
  <c r="F8" i="6" s="1"/>
  <c r="K4" i="2" l="1"/>
  <c r="L4" i="2" s="1"/>
  <c r="V3" i="2"/>
  <c r="Q4" i="2" s="1"/>
  <c r="R4" i="2" s="1"/>
  <c r="D9" i="6" s="1"/>
  <c r="H8" i="6"/>
  <c r="P199" i="2"/>
  <c r="N4" i="2" l="1"/>
  <c r="G5" i="2" s="1"/>
  <c r="W3" i="2"/>
  <c r="AB3" i="2" s="1"/>
  <c r="T4" i="2"/>
  <c r="Z4" i="2" s="1"/>
  <c r="AA4" i="2"/>
  <c r="G9" i="6" s="1"/>
  <c r="P200" i="2"/>
  <c r="U4" i="2" l="1"/>
  <c r="F9" i="6" s="1"/>
  <c r="P201" i="2"/>
  <c r="I5" i="2"/>
  <c r="K5" i="2"/>
  <c r="V4" i="2" l="1"/>
  <c r="H9" i="6"/>
  <c r="P202" i="2"/>
  <c r="L5" i="2"/>
  <c r="N5" i="2" l="1"/>
  <c r="G6" i="2" s="1"/>
  <c r="K6" i="2" s="1"/>
  <c r="Q5" i="2"/>
  <c r="W4" i="2"/>
  <c r="AB4" i="2" s="1"/>
  <c r="P203" i="2"/>
  <c r="I6" i="2" l="1"/>
  <c r="L6" i="2" s="1"/>
  <c r="R5" i="2"/>
  <c r="D10" i="6" s="1"/>
  <c r="T5" i="2"/>
  <c r="P204" i="2"/>
  <c r="Z5" i="2" l="1"/>
  <c r="U5" i="2"/>
  <c r="F10" i="6" s="1"/>
  <c r="AA5" i="2"/>
  <c r="G10" i="6" s="1"/>
  <c r="N6" i="2"/>
  <c r="G7" i="2" s="1"/>
  <c r="K7" i="2" s="1"/>
  <c r="P205" i="2"/>
  <c r="I7" i="2" l="1"/>
  <c r="L7" i="2" s="1"/>
  <c r="V5" i="2"/>
  <c r="H10" i="6"/>
  <c r="P206" i="2"/>
  <c r="N7" i="2" l="1"/>
  <c r="G8" i="2" s="1"/>
  <c r="Q6" i="2"/>
  <c r="W5" i="2"/>
  <c r="AB5" i="2" s="1"/>
  <c r="P207" i="2"/>
  <c r="K8" i="2" l="1"/>
  <c r="I8" i="2"/>
  <c r="R6" i="2"/>
  <c r="D11" i="6" s="1"/>
  <c r="T6" i="2"/>
  <c r="P208" i="2"/>
  <c r="L8" i="2" l="1"/>
  <c r="U6" i="2"/>
  <c r="F11" i="6" s="1"/>
  <c r="Z6" i="2"/>
  <c r="AA6" i="2"/>
  <c r="G11" i="6" s="1"/>
  <c r="P209" i="2"/>
  <c r="N8" i="2" l="1"/>
  <c r="G9" i="2" s="1"/>
  <c r="V6" i="2"/>
  <c r="H11" i="6"/>
  <c r="P210" i="2"/>
  <c r="I9" i="2" l="1"/>
  <c r="K9" i="2"/>
  <c r="Q7" i="2"/>
  <c r="W6" i="2"/>
  <c r="AB6" i="2" s="1"/>
  <c r="P211" i="2"/>
  <c r="L9" i="2" l="1"/>
  <c r="N9" i="2" s="1"/>
  <c r="G10" i="2" s="1"/>
  <c r="R7" i="2"/>
  <c r="D12" i="6" s="1"/>
  <c r="T7" i="2"/>
  <c r="P212" i="2"/>
  <c r="K10" i="2" l="1"/>
  <c r="I10" i="2"/>
  <c r="AA7" i="2"/>
  <c r="G12" i="6" s="1"/>
  <c r="D3" i="3"/>
  <c r="Z7" i="2"/>
  <c r="U7" i="2"/>
  <c r="F12" i="6" s="1"/>
  <c r="P213" i="2"/>
  <c r="L10" i="2" l="1"/>
  <c r="N10" i="2" s="1"/>
  <c r="G11" i="2" s="1"/>
  <c r="G3" i="3"/>
  <c r="F3" i="3"/>
  <c r="V7" i="2"/>
  <c r="P214" i="2"/>
  <c r="I11" i="2" l="1"/>
  <c r="K11" i="2"/>
  <c r="H12" i="6"/>
  <c r="Q8" i="2"/>
  <c r="W7" i="2"/>
  <c r="AB7" i="2" s="1"/>
  <c r="H3" i="3" s="1"/>
  <c r="P215" i="2"/>
  <c r="L11" i="2" l="1"/>
  <c r="R8" i="2"/>
  <c r="D13" i="6" s="1"/>
  <c r="T8" i="2"/>
  <c r="P216" i="2"/>
  <c r="N11" i="2" l="1"/>
  <c r="G12" i="2" s="1"/>
  <c r="AA8" i="2"/>
  <c r="G13" i="6" s="1"/>
  <c r="Z8" i="2"/>
  <c r="U8" i="2"/>
  <c r="F13" i="6" s="1"/>
  <c r="P217" i="2"/>
  <c r="I12" i="2" l="1"/>
  <c r="K12" i="2"/>
  <c r="V8" i="2"/>
  <c r="H13" i="6"/>
  <c r="P218" i="2"/>
  <c r="L12" i="2" l="1"/>
  <c r="Q9" i="2"/>
  <c r="W8" i="2"/>
  <c r="AB8" i="2" s="1"/>
  <c r="P219" i="2"/>
  <c r="N12" i="2" l="1"/>
  <c r="G13" i="2" s="1"/>
  <c r="R9" i="2"/>
  <c r="D14" i="6" s="1"/>
  <c r="T9" i="2"/>
  <c r="P220" i="2"/>
  <c r="K13" i="2" l="1"/>
  <c r="I13" i="2"/>
  <c r="Z9" i="2"/>
  <c r="U9" i="2"/>
  <c r="F14" i="6" s="1"/>
  <c r="AA9" i="2"/>
  <c r="G14" i="6" s="1"/>
  <c r="P221" i="2"/>
  <c r="L13" i="2" l="1"/>
  <c r="V9" i="2"/>
  <c r="H14" i="6"/>
  <c r="P222" i="2"/>
  <c r="N13" i="2" l="1"/>
  <c r="G14" i="2" s="1"/>
  <c r="W9" i="2"/>
  <c r="AB9" i="2" s="1"/>
  <c r="Q10" i="2"/>
  <c r="P223" i="2"/>
  <c r="K14" i="2" l="1"/>
  <c r="I14" i="2"/>
  <c r="R10" i="2"/>
  <c r="D15" i="6" s="1"/>
  <c r="T10" i="2"/>
  <c r="P224" i="2"/>
  <c r="L14" i="2" l="1"/>
  <c r="Z10" i="2"/>
  <c r="U10" i="2"/>
  <c r="F15" i="6" s="1"/>
  <c r="AA10" i="2"/>
  <c r="G15" i="6" s="1"/>
  <c r="P225" i="2"/>
  <c r="N14" i="2" l="1"/>
  <c r="G15" i="2" s="1"/>
  <c r="V10" i="2"/>
  <c r="H15" i="6"/>
  <c r="P226" i="2"/>
  <c r="I15" i="2" l="1"/>
  <c r="K15" i="2"/>
  <c r="Q11" i="2"/>
  <c r="W10" i="2"/>
  <c r="AB10" i="2" s="1"/>
  <c r="P227" i="2"/>
  <c r="L15" i="2" l="1"/>
  <c r="T11" i="2"/>
  <c r="R11" i="2"/>
  <c r="D16" i="6" s="1"/>
  <c r="P228" i="2"/>
  <c r="N15" i="2" l="1"/>
  <c r="G16" i="2" s="1"/>
  <c r="Z11" i="2"/>
  <c r="U11" i="2"/>
  <c r="F16" i="6" s="1"/>
  <c r="AA11" i="2"/>
  <c r="G16" i="6" s="1"/>
  <c r="P229" i="2"/>
  <c r="I16" i="2" l="1"/>
  <c r="K16" i="2"/>
  <c r="V11" i="2"/>
  <c r="H16" i="6"/>
  <c r="P230" i="2"/>
  <c r="L16" i="2" l="1"/>
  <c r="Q12" i="2"/>
  <c r="W11" i="2"/>
  <c r="AB11" i="2" s="1"/>
  <c r="N16" i="2" l="1"/>
  <c r="G17" i="2" s="1"/>
  <c r="T12" i="2"/>
  <c r="R12" i="2"/>
  <c r="D17" i="6" s="1"/>
  <c r="I17" i="2" l="1"/>
  <c r="K17" i="2"/>
  <c r="AA12" i="2"/>
  <c r="G17" i="6" s="1"/>
  <c r="Z12" i="2"/>
  <c r="U12" i="2"/>
  <c r="F17" i="6" s="1"/>
  <c r="L17" i="2" l="1"/>
  <c r="H17" i="6"/>
  <c r="V12" i="2"/>
  <c r="N17" i="2" l="1"/>
  <c r="G18" i="2" s="1"/>
  <c r="W12" i="2"/>
  <c r="AB12" i="2" s="1"/>
  <c r="Q13" i="2"/>
  <c r="K18" i="2" l="1"/>
  <c r="I18" i="2"/>
  <c r="R13" i="2"/>
  <c r="D18" i="6" s="1"/>
  <c r="T13" i="2"/>
  <c r="L18" i="2" l="1"/>
  <c r="Z13" i="2"/>
  <c r="U13" i="2"/>
  <c r="F18" i="6" s="1"/>
  <c r="AA13" i="2"/>
  <c r="G18" i="6" s="1"/>
  <c r="D4" i="3"/>
  <c r="N18" i="2" l="1"/>
  <c r="G19" i="2" s="1"/>
  <c r="G4" i="3"/>
  <c r="F4" i="3"/>
  <c r="V13" i="2"/>
  <c r="I19" i="2" l="1"/>
  <c r="K19" i="2"/>
  <c r="H18" i="6"/>
  <c r="Q14" i="2"/>
  <c r="W13" i="2"/>
  <c r="AB13" i="2" s="1"/>
  <c r="H4" i="3" s="1"/>
  <c r="L19" i="2" l="1"/>
  <c r="T14" i="2"/>
  <c r="R14" i="2"/>
  <c r="D19" i="6" s="1"/>
  <c r="N19" i="2" l="1"/>
  <c r="G20" i="2" s="1"/>
  <c r="Z14" i="2"/>
  <c r="U14" i="2"/>
  <c r="F19" i="6" s="1"/>
  <c r="AA14" i="2"/>
  <c r="G19" i="6" s="1"/>
  <c r="I20" i="2" l="1"/>
  <c r="K20" i="2"/>
  <c r="V14" i="2"/>
  <c r="L20" i="2" l="1"/>
  <c r="H19" i="6"/>
  <c r="Q15" i="2"/>
  <c r="W14" i="2"/>
  <c r="AB14" i="2" s="1"/>
  <c r="N20" i="2" l="1"/>
  <c r="G21" i="2" s="1"/>
  <c r="T15" i="2"/>
  <c r="R15" i="2"/>
  <c r="D20" i="6" s="1"/>
  <c r="K21" i="2" l="1"/>
  <c r="I21" i="2"/>
  <c r="AA15" i="2"/>
  <c r="G20" i="6" s="1"/>
  <c r="Z15" i="2"/>
  <c r="U15" i="2"/>
  <c r="F20" i="6" s="1"/>
  <c r="L21" i="2" l="1"/>
  <c r="V15" i="2"/>
  <c r="N21" i="2" l="1"/>
  <c r="G22" i="2" s="1"/>
  <c r="H20" i="6"/>
  <c r="Q16" i="2"/>
  <c r="W15" i="2"/>
  <c r="AB15" i="2" s="1"/>
  <c r="K22" i="2" l="1"/>
  <c r="I22" i="2"/>
  <c r="R16" i="2"/>
  <c r="D21" i="6" s="1"/>
  <c r="T16" i="2"/>
  <c r="L22" i="2" l="1"/>
  <c r="Z16" i="2"/>
  <c r="U16" i="2"/>
  <c r="F21" i="6" s="1"/>
  <c r="AA16" i="2"/>
  <c r="G21" i="6" s="1"/>
  <c r="N22" i="2" l="1"/>
  <c r="G23" i="2" s="1"/>
  <c r="V16" i="2"/>
  <c r="K23" i="2" l="1"/>
  <c r="I23" i="2"/>
  <c r="W16" i="2"/>
  <c r="AB16" i="2" s="1"/>
  <c r="Q17" i="2"/>
  <c r="H21" i="6"/>
  <c r="L23" i="2" l="1"/>
  <c r="R17" i="2"/>
  <c r="D22" i="6" s="1"/>
  <c r="T17" i="2"/>
  <c r="N23" i="2" l="1"/>
  <c r="G24" i="2" s="1"/>
  <c r="AA17" i="2"/>
  <c r="G22" i="6" s="1"/>
  <c r="Z17" i="2"/>
  <c r="U17" i="2"/>
  <c r="F22" i="6" s="1"/>
  <c r="K24" i="2" l="1"/>
  <c r="I24" i="2"/>
  <c r="V17" i="2"/>
  <c r="L24" i="2" l="1"/>
  <c r="H22" i="6"/>
  <c r="Q18" i="2"/>
  <c r="W17" i="2"/>
  <c r="AB17" i="2" s="1"/>
  <c r="N24" i="2" l="1"/>
  <c r="G25" i="2" s="1"/>
  <c r="R18" i="2"/>
  <c r="D23" i="6" s="1"/>
  <c r="T18" i="2"/>
  <c r="I25" i="2" l="1"/>
  <c r="K25" i="2"/>
  <c r="Z18" i="2"/>
  <c r="U18" i="2"/>
  <c r="F23" i="6" s="1"/>
  <c r="AA18" i="2"/>
  <c r="G23" i="6" s="1"/>
  <c r="L25" i="2" l="1"/>
  <c r="V18" i="2"/>
  <c r="N25" i="2" l="1"/>
  <c r="G26" i="2" s="1"/>
  <c r="K26" i="2" s="1"/>
  <c r="H23" i="6"/>
  <c r="W18" i="2"/>
  <c r="AB18" i="2" s="1"/>
  <c r="Q19" i="2"/>
  <c r="I26" i="2" l="1"/>
  <c r="T19" i="2"/>
  <c r="R19" i="2"/>
  <c r="D24" i="6" s="1"/>
  <c r="L26" i="2" l="1"/>
  <c r="N26" i="2" s="1"/>
  <c r="G27" i="2" s="1"/>
  <c r="Z19" i="2"/>
  <c r="U19" i="2"/>
  <c r="F24" i="6" s="1"/>
  <c r="AA19" i="2"/>
  <c r="G24" i="6" s="1"/>
  <c r="D5" i="3"/>
  <c r="K27" i="2" l="1"/>
  <c r="I27" i="2"/>
  <c r="G5" i="3"/>
  <c r="F5" i="3"/>
  <c r="V19" i="2"/>
  <c r="L27" i="2" l="1"/>
  <c r="N27" i="2" s="1"/>
  <c r="G28" i="2" s="1"/>
  <c r="I28" i="2" s="1"/>
  <c r="H24" i="6"/>
  <c r="Q20" i="2"/>
  <c r="W19" i="2"/>
  <c r="AB19" i="2" s="1"/>
  <c r="H5" i="3" s="1"/>
  <c r="K28" i="2" l="1"/>
  <c r="L28" i="2" s="1"/>
  <c r="N28" i="2" s="1"/>
  <c r="G29" i="2" s="1"/>
  <c r="K29" i="2" s="1"/>
  <c r="T20" i="2"/>
  <c r="R20" i="2"/>
  <c r="D25" i="6" s="1"/>
  <c r="I29" i="2" l="1"/>
  <c r="L29" i="2" s="1"/>
  <c r="N29" i="2" s="1"/>
  <c r="G30" i="2" s="1"/>
  <c r="Z20" i="2"/>
  <c r="U20" i="2"/>
  <c r="F25" i="6" s="1"/>
  <c r="AA20" i="2"/>
  <c r="G25" i="6" s="1"/>
  <c r="K30" i="2" l="1"/>
  <c r="I30" i="2"/>
  <c r="V20" i="2"/>
  <c r="L30" i="2" l="1"/>
  <c r="N30" i="2" s="1"/>
  <c r="G31" i="2" s="1"/>
  <c r="K31" i="2" s="1"/>
  <c r="H25" i="6"/>
  <c r="Q21" i="2"/>
  <c r="W20" i="2"/>
  <c r="AB20" i="2" s="1"/>
  <c r="I31" i="2" l="1"/>
  <c r="L31" i="2" s="1"/>
  <c r="N31" i="2" s="1"/>
  <c r="G32" i="2" s="1"/>
  <c r="T21" i="2"/>
  <c r="R21" i="2"/>
  <c r="D26" i="6" s="1"/>
  <c r="I32" i="2" l="1"/>
  <c r="K32" i="2"/>
  <c r="AA21" i="2"/>
  <c r="G26" i="6" s="1"/>
  <c r="Z21" i="2"/>
  <c r="U21" i="2"/>
  <c r="F26" i="6" s="1"/>
  <c r="L32" i="2" l="1"/>
  <c r="N32" i="2" s="1"/>
  <c r="G33" i="2" s="1"/>
  <c r="V21" i="2"/>
  <c r="K33" i="2" l="1"/>
  <c r="I33" i="2"/>
  <c r="H26" i="6"/>
  <c r="Q22" i="2"/>
  <c r="W21" i="2"/>
  <c r="AB21" i="2" s="1"/>
  <c r="L33" i="2" l="1"/>
  <c r="N33" i="2" s="1"/>
  <c r="G34" i="2" s="1"/>
  <c r="R22" i="2"/>
  <c r="D27" i="6" s="1"/>
  <c r="T22" i="2"/>
  <c r="I34" i="2" l="1"/>
  <c r="K34" i="2"/>
  <c r="AA22" i="2"/>
  <c r="G27" i="6" s="1"/>
  <c r="Z22" i="2"/>
  <c r="U22" i="2"/>
  <c r="F27" i="6" s="1"/>
  <c r="L34" i="2" l="1"/>
  <c r="N34" i="2" s="1"/>
  <c r="G35" i="2" s="1"/>
  <c r="V22" i="2"/>
  <c r="K35" i="2" l="1"/>
  <c r="I35" i="2"/>
  <c r="H27" i="6"/>
  <c r="Q23" i="2"/>
  <c r="W22" i="2"/>
  <c r="AB22" i="2" s="1"/>
  <c r="L35" i="2" l="1"/>
  <c r="N35" i="2" s="1"/>
  <c r="G36" i="2" s="1"/>
  <c r="T23" i="2"/>
  <c r="R23" i="2"/>
  <c r="D28" i="6" s="1"/>
  <c r="I36" i="2" l="1"/>
  <c r="K36" i="2"/>
  <c r="Z23" i="2"/>
  <c r="U23" i="2"/>
  <c r="F28" i="6" s="1"/>
  <c r="AA23" i="2"/>
  <c r="G28" i="6" s="1"/>
  <c r="L36" i="2" l="1"/>
  <c r="N36" i="2" s="1"/>
  <c r="G37" i="2" s="1"/>
  <c r="V23" i="2"/>
  <c r="I37" i="2" l="1"/>
  <c r="K37" i="2"/>
  <c r="H28" i="6"/>
  <c r="Q24" i="2"/>
  <c r="W23" i="2"/>
  <c r="AB23" i="2" s="1"/>
  <c r="L37" i="2" l="1"/>
  <c r="N37" i="2" s="1"/>
  <c r="G38" i="2" s="1"/>
  <c r="R24" i="2"/>
  <c r="D29" i="6" s="1"/>
  <c r="T24" i="2"/>
  <c r="Z24" i="2" l="1"/>
  <c r="U24" i="2"/>
  <c r="F29" i="6" s="1"/>
  <c r="AA24" i="2"/>
  <c r="G29" i="6" s="1"/>
  <c r="V24" i="2" l="1"/>
  <c r="H29" i="6" l="1"/>
  <c r="W24" i="2"/>
  <c r="AB24" i="2" s="1"/>
  <c r="Q25" i="2"/>
  <c r="R25" i="2" l="1"/>
  <c r="D30" i="6" s="1"/>
  <c r="T25" i="2"/>
  <c r="AA25" i="2" l="1"/>
  <c r="G30" i="6" s="1"/>
  <c r="D6" i="3"/>
  <c r="Z25" i="2"/>
  <c r="U25" i="2"/>
  <c r="F30" i="6" s="1"/>
  <c r="F6" i="3" l="1"/>
  <c r="V25" i="2"/>
  <c r="G6" i="3"/>
  <c r="H30" i="6" l="1"/>
  <c r="W25" i="2"/>
  <c r="AB25" i="2" s="1"/>
  <c r="H6" i="3" s="1"/>
  <c r="Q26" i="2"/>
  <c r="R26" i="2" l="1"/>
  <c r="D31" i="6" s="1"/>
  <c r="T26" i="2"/>
  <c r="AA26" i="2" l="1"/>
  <c r="G31" i="6" s="1"/>
  <c r="Z26" i="2"/>
  <c r="U26" i="2"/>
  <c r="F31" i="6" s="1"/>
  <c r="V26" i="2" l="1"/>
  <c r="H31" i="6" l="1"/>
  <c r="W26" i="2"/>
  <c r="AB26" i="2" s="1"/>
  <c r="Q27" i="2"/>
  <c r="R27" i="2" l="1"/>
  <c r="D32" i="6" s="1"/>
  <c r="T27" i="2"/>
  <c r="Z27" i="2" l="1"/>
  <c r="U27" i="2"/>
  <c r="F32" i="6" s="1"/>
  <c r="AA27" i="2"/>
  <c r="G32" i="6" s="1"/>
  <c r="V27" i="2" l="1"/>
  <c r="H32" i="6" l="1"/>
  <c r="Q28" i="2"/>
  <c r="W27" i="2"/>
  <c r="AB27" i="2" s="1"/>
  <c r="R28" i="2" l="1"/>
  <c r="D33" i="6" s="1"/>
  <c r="T28" i="2"/>
  <c r="AA28" i="2" l="1"/>
  <c r="G33" i="6" s="1"/>
  <c r="Z28" i="2"/>
  <c r="U28" i="2"/>
  <c r="F33" i="6" s="1"/>
  <c r="V28" i="2" l="1"/>
  <c r="H33" i="6" l="1"/>
  <c r="Q29" i="2"/>
  <c r="W28" i="2"/>
  <c r="AB28" i="2" s="1"/>
  <c r="R29" i="2" l="1"/>
  <c r="D34" i="6" s="1"/>
  <c r="T29" i="2"/>
  <c r="AA29" i="2" l="1"/>
  <c r="G34" i="6" s="1"/>
  <c r="Z29" i="2"/>
  <c r="U29" i="2"/>
  <c r="F34" i="6" s="1"/>
  <c r="V29" i="2" l="1"/>
  <c r="H34" i="6" l="1"/>
  <c r="W29" i="2"/>
  <c r="AB29" i="2" s="1"/>
  <c r="Q30" i="2"/>
  <c r="R30" i="2" l="1"/>
  <c r="D35" i="6" s="1"/>
  <c r="T30" i="2"/>
  <c r="AA30" i="2" l="1"/>
  <c r="G35" i="6" s="1"/>
  <c r="Z30" i="2"/>
  <c r="U30" i="2"/>
  <c r="F35" i="6" s="1"/>
  <c r="V30" i="2" l="1"/>
  <c r="H35" i="6" l="1"/>
  <c r="Q31" i="2"/>
  <c r="W30" i="2"/>
  <c r="AB30" i="2" s="1"/>
  <c r="R31" i="2" l="1"/>
  <c r="D36" i="6" s="1"/>
  <c r="T31" i="2"/>
  <c r="AA31" i="2" l="1"/>
  <c r="G36" i="6" s="1"/>
  <c r="D7" i="3"/>
  <c r="Z31" i="2"/>
  <c r="U31" i="2"/>
  <c r="F36" i="6" s="1"/>
  <c r="F7" i="3" l="1"/>
  <c r="V31" i="2"/>
  <c r="G7" i="3"/>
  <c r="H36" i="6" l="1"/>
  <c r="Q32" i="2"/>
  <c r="W31" i="2"/>
  <c r="AB31" i="2" s="1"/>
  <c r="H7" i="3" s="1"/>
  <c r="R32" i="2" l="1"/>
  <c r="D37" i="6" s="1"/>
  <c r="T32" i="2"/>
  <c r="AA32" i="2" l="1"/>
  <c r="G37" i="6" s="1"/>
  <c r="Z32" i="2"/>
  <c r="U32" i="2"/>
  <c r="F37" i="6" s="1"/>
  <c r="V32" i="2" l="1"/>
  <c r="H37" i="6" l="1"/>
  <c r="Q33" i="2"/>
  <c r="W32" i="2"/>
  <c r="AB32" i="2" s="1"/>
  <c r="R33" i="2" l="1"/>
  <c r="D38" i="6" s="1"/>
  <c r="T33" i="2"/>
  <c r="AA33" i="2" l="1"/>
  <c r="G38" i="6" s="1"/>
  <c r="Z33" i="2"/>
  <c r="U33" i="2"/>
  <c r="F38" i="6" s="1"/>
  <c r="V33" i="2" l="1"/>
  <c r="H38" i="6" l="1"/>
  <c r="Q34" i="2"/>
  <c r="W33" i="2"/>
  <c r="AB33" i="2" s="1"/>
  <c r="R34" i="2" l="1"/>
  <c r="D39" i="6" s="1"/>
  <c r="T34" i="2"/>
  <c r="AA34" i="2" l="1"/>
  <c r="G39" i="6" s="1"/>
  <c r="Z34" i="2"/>
  <c r="U34" i="2"/>
  <c r="F39" i="6" s="1"/>
  <c r="V34" i="2" l="1"/>
  <c r="H39" i="6" l="1"/>
  <c r="Q35" i="2"/>
  <c r="W34" i="2"/>
  <c r="AB34" i="2" s="1"/>
  <c r="R35" i="2" l="1"/>
  <c r="D40" i="6" s="1"/>
  <c r="T35" i="2"/>
  <c r="AA35" i="2" l="1"/>
  <c r="G40" i="6" s="1"/>
  <c r="Z35" i="2"/>
  <c r="U35" i="2"/>
  <c r="F40" i="6" s="1"/>
  <c r="V35" i="2" l="1"/>
  <c r="H40" i="6" l="1"/>
  <c r="Q36" i="2"/>
  <c r="W35" i="2"/>
  <c r="AB35" i="2" s="1"/>
  <c r="R36" i="2" l="1"/>
  <c r="D41" i="6" s="1"/>
  <c r="T36" i="2"/>
  <c r="AA36" i="2" l="1"/>
  <c r="G41" i="6" s="1"/>
  <c r="Z36" i="2"/>
  <c r="U36" i="2"/>
  <c r="F41" i="6" s="1"/>
  <c r="V36" i="2" l="1"/>
  <c r="H41" i="6" l="1"/>
  <c r="Q37" i="2"/>
  <c r="W36" i="2"/>
  <c r="AB36" i="2" s="1"/>
  <c r="R37" i="2" l="1"/>
  <c r="D42" i="6" s="1"/>
  <c r="T37" i="2"/>
  <c r="AA37" i="2" l="1"/>
  <c r="G42" i="6" s="1"/>
  <c r="D8" i="3"/>
  <c r="Z37" i="2"/>
  <c r="U37" i="2"/>
  <c r="F42" i="6" s="1"/>
  <c r="F8" i="3" l="1"/>
  <c r="V37" i="2"/>
  <c r="Q38" i="2" s="1"/>
  <c r="G8" i="3"/>
  <c r="H42" i="6" l="1"/>
  <c r="R38" i="2"/>
  <c r="T38" i="2"/>
  <c r="U38" i="2" l="1"/>
  <c r="V38" i="2" s="1"/>
  <c r="Q39" i="2" s="1"/>
  <c r="T39" i="2" s="1"/>
  <c r="R39" i="2" l="1"/>
  <c r="U39" i="2" s="1"/>
  <c r="V39" i="2" s="1"/>
  <c r="Q40" i="2" s="1"/>
  <c r="R40" i="2" s="1"/>
  <c r="T40" i="2" l="1"/>
  <c r="U40" i="2" s="1"/>
  <c r="V40" i="2" s="1"/>
  <c r="Q41" i="2" s="1"/>
  <c r="R41" i="2" s="1"/>
  <c r="T41" i="2" l="1"/>
  <c r="U41" i="2" s="1"/>
  <c r="V41" i="2" s="1"/>
  <c r="Q42" i="2" s="1"/>
  <c r="T42" i="2" s="1"/>
  <c r="R42" i="2" l="1"/>
  <c r="U42" i="2" s="1"/>
  <c r="V42" i="2" s="1"/>
  <c r="Q43" i="2" s="1"/>
  <c r="T43" i="2" l="1"/>
  <c r="R43" i="2"/>
  <c r="U43" i="2" l="1"/>
  <c r="V43" i="2" s="1"/>
  <c r="Q44" i="2" s="1"/>
  <c r="T44" i="2" s="1"/>
  <c r="R44" i="2" l="1"/>
  <c r="U44" i="2" s="1"/>
  <c r="V44" i="2" s="1"/>
  <c r="Q45" i="2" s="1"/>
  <c r="T45" i="2" s="1"/>
  <c r="R45" i="2" l="1"/>
  <c r="U45" i="2" s="1"/>
  <c r="V45" i="2" s="1"/>
  <c r="Q46" i="2" s="1"/>
  <c r="R46" i="2" l="1"/>
  <c r="T46" i="2"/>
  <c r="U46" i="2" l="1"/>
  <c r="V46" i="2" s="1"/>
  <c r="Q47" i="2" s="1"/>
  <c r="T47" i="2" s="1"/>
  <c r="R47" i="2" l="1"/>
  <c r="U47" i="2" s="1"/>
  <c r="V47" i="2" s="1"/>
  <c r="Q48" i="2" s="1"/>
  <c r="T48" i="2" s="1"/>
  <c r="R48" i="2" l="1"/>
  <c r="U48" i="2" s="1"/>
  <c r="V48" i="2" s="1"/>
  <c r="Q49" i="2" s="1"/>
  <c r="R49" i="2" s="1"/>
  <c r="T49" i="2" l="1"/>
  <c r="U49" i="2" s="1"/>
  <c r="V49" i="2" s="1"/>
  <c r="Q50" i="2" s="1"/>
  <c r="T50" i="2" s="1"/>
  <c r="R50" i="2" l="1"/>
  <c r="U50" i="2" s="1"/>
  <c r="V50" i="2" s="1"/>
  <c r="Q51" i="2" s="1"/>
  <c r="R51" i="2" s="1"/>
  <c r="T51" i="2" l="1"/>
  <c r="U51" i="2" s="1"/>
  <c r="V51" i="2" s="1"/>
  <c r="Q52" i="2" s="1"/>
  <c r="R52" i="2" l="1"/>
  <c r="T52" i="2"/>
  <c r="U52" i="2" l="1"/>
  <c r="V52" i="2" s="1"/>
  <c r="Q53" i="2" s="1"/>
  <c r="T53" i="2" s="1"/>
  <c r="R53" i="2" l="1"/>
  <c r="U53" i="2" s="1"/>
  <c r="V53" i="2" s="1"/>
  <c r="Q54" i="2" s="1"/>
  <c r="T54" i="2" l="1"/>
  <c r="R54" i="2"/>
  <c r="U54" i="2" l="1"/>
  <c r="V54" i="2" s="1"/>
  <c r="Q55" i="2" s="1"/>
  <c r="R55" i="2" s="1"/>
  <c r="T55" i="2" l="1"/>
  <c r="U55" i="2" s="1"/>
  <c r="V55" i="2" s="1"/>
  <c r="Q56" i="2" s="1"/>
  <c r="R56" i="2" l="1"/>
  <c r="T56" i="2"/>
  <c r="U56" i="2" l="1"/>
  <c r="V56" i="2" s="1"/>
  <c r="Q57" i="2" s="1"/>
  <c r="R57" i="2" s="1"/>
  <c r="T57" i="2" l="1"/>
  <c r="U57" i="2" s="1"/>
  <c r="V57" i="2" s="1"/>
  <c r="Q58" i="2" s="1"/>
  <c r="R58" i="2" l="1"/>
  <c r="T58" i="2"/>
  <c r="U58" i="2" l="1"/>
  <c r="V58" i="2" s="1"/>
  <c r="Q59" i="2" s="1"/>
  <c r="T59" i="2" s="1"/>
  <c r="R59" i="2" l="1"/>
  <c r="U59" i="2" s="1"/>
  <c r="V59" i="2" s="1"/>
  <c r="Q60" i="2" s="1"/>
  <c r="R60" i="2" l="1"/>
  <c r="T60" i="2"/>
  <c r="U60" i="2" l="1"/>
  <c r="V60" i="2" s="1"/>
  <c r="Q61" i="2" s="1"/>
  <c r="R61" i="2" s="1"/>
  <c r="T61" i="2" l="1"/>
  <c r="U61" i="2" s="1"/>
  <c r="V61" i="2" s="1"/>
  <c r="Q62" i="2" s="1"/>
  <c r="R62" i="2" l="1"/>
  <c r="T62" i="2"/>
  <c r="U62" i="2" l="1"/>
  <c r="V62" i="2" s="1"/>
  <c r="Q63" i="2" s="1"/>
  <c r="R63" i="2" s="1"/>
  <c r="T63" i="2" l="1"/>
  <c r="U63" i="2" s="1"/>
  <c r="V63" i="2" s="1"/>
  <c r="Q64" i="2" s="1"/>
  <c r="R64" i="2" l="1"/>
  <c r="T64" i="2"/>
  <c r="U64" i="2" l="1"/>
  <c r="V64" i="2" l="1"/>
  <c r="Q65" i="2" s="1"/>
  <c r="R65" i="2" l="1"/>
  <c r="T65" i="2"/>
  <c r="U65" i="2" l="1"/>
  <c r="V65" i="2" l="1"/>
  <c r="Q66" i="2" s="1"/>
  <c r="R66" i="2" l="1"/>
  <c r="T66" i="2"/>
  <c r="U66" i="2" l="1"/>
  <c r="V66" i="2" s="1"/>
  <c r="Q67" i="2" l="1"/>
  <c r="R67" i="2" l="1"/>
  <c r="T67" i="2"/>
  <c r="U67" i="2" l="1"/>
  <c r="V67" i="2" l="1"/>
  <c r="Q68" i="2" l="1"/>
  <c r="R68" i="2" s="1"/>
  <c r="T68" i="2" l="1"/>
  <c r="U68" i="2" s="1"/>
  <c r="V68" i="2" l="1"/>
  <c r="Q69" i="2" s="1"/>
  <c r="R69" i="2" l="1"/>
  <c r="T69" i="2"/>
  <c r="U69" i="2" l="1"/>
  <c r="V69" i="2" l="1"/>
  <c r="Q70" i="2" s="1"/>
  <c r="R70" i="2" l="1"/>
  <c r="T70" i="2"/>
  <c r="U70" i="2" l="1"/>
  <c r="V70" i="2" l="1"/>
  <c r="Q71" i="2" s="1"/>
  <c r="R71" i="2" l="1"/>
  <c r="T71" i="2"/>
  <c r="U71" i="2" l="1"/>
  <c r="V71" i="2" l="1"/>
  <c r="Q72" i="2" l="1"/>
  <c r="R72" i="2" s="1"/>
  <c r="T72" i="2" l="1"/>
  <c r="U72" i="2" l="1"/>
  <c r="V72" i="2" s="1"/>
  <c r="Q73" i="2" s="1"/>
  <c r="R73" i="2" l="1"/>
  <c r="T73" i="2"/>
  <c r="U73" i="2" l="1"/>
  <c r="V73" i="2" l="1"/>
  <c r="Q74" i="2" l="1"/>
  <c r="R74" i="2" s="1"/>
  <c r="T74" i="2" l="1"/>
  <c r="U74" i="2" l="1"/>
  <c r="V74" i="2" s="1"/>
  <c r="Q75" i="2" l="1"/>
  <c r="R75" i="2" s="1"/>
  <c r="T75" i="2" l="1"/>
  <c r="U75" i="2" l="1"/>
  <c r="V75" i="2" s="1"/>
  <c r="Q76" i="2" s="1"/>
  <c r="R76" i="2" l="1"/>
  <c r="T76" i="2"/>
  <c r="U76" i="2" l="1"/>
  <c r="V76" i="2" l="1"/>
  <c r="Q77" i="2" s="1"/>
  <c r="R77" i="2" l="1"/>
  <c r="T77" i="2"/>
  <c r="U77" i="2" l="1"/>
  <c r="V77" i="2" l="1"/>
  <c r="Q78" i="2" s="1"/>
  <c r="R78" i="2" l="1"/>
  <c r="T78" i="2"/>
  <c r="U78" i="2" l="1"/>
  <c r="V78" i="2" s="1"/>
  <c r="Q79" i="2" l="1"/>
  <c r="R79" i="2" l="1"/>
  <c r="T79" i="2"/>
  <c r="U79" i="2" l="1"/>
  <c r="V79" i="2" l="1"/>
  <c r="Q80" i="2" s="1"/>
  <c r="R80" i="2" l="1"/>
  <c r="T80" i="2"/>
  <c r="U80" i="2" l="1"/>
  <c r="V80" i="2" l="1"/>
  <c r="Q81" i="2" s="1"/>
  <c r="R81" i="2" l="1"/>
  <c r="T81" i="2"/>
  <c r="U81" i="2" l="1"/>
  <c r="V81" i="2" l="1"/>
  <c r="Q82" i="2" s="1"/>
  <c r="R82" i="2" l="1"/>
  <c r="T82" i="2"/>
  <c r="U82" i="2" l="1"/>
  <c r="V82" i="2" l="1"/>
  <c r="Q83" i="2" s="1"/>
  <c r="R83" i="2" l="1"/>
  <c r="T83" i="2"/>
  <c r="U83" i="2" l="1"/>
  <c r="V83" i="2" l="1"/>
  <c r="Q84" i="2" s="1"/>
  <c r="R84" i="2" l="1"/>
  <c r="T84" i="2"/>
  <c r="U84" i="2" l="1"/>
  <c r="V84" i="2" s="1"/>
  <c r="Q85" i="2" l="1"/>
  <c r="R85" i="2" l="1"/>
  <c r="T85" i="2"/>
  <c r="U85" i="2" l="1"/>
  <c r="V85" i="2" l="1"/>
  <c r="Q86" i="2" s="1"/>
  <c r="R86" i="2" l="1"/>
  <c r="T86" i="2"/>
  <c r="U86" i="2" l="1"/>
  <c r="V86" i="2" l="1"/>
  <c r="Q87" i="2" s="1"/>
  <c r="R87" i="2" l="1"/>
  <c r="T87" i="2"/>
  <c r="U87" i="2" l="1"/>
  <c r="V87" i="2" l="1"/>
  <c r="Q88" i="2" s="1"/>
  <c r="R88" i="2" l="1"/>
  <c r="T88" i="2"/>
  <c r="U88" i="2" l="1"/>
  <c r="V88" i="2" l="1"/>
  <c r="Q89" i="2" s="1"/>
  <c r="R89" i="2" l="1"/>
  <c r="T89" i="2"/>
  <c r="U89" i="2" l="1"/>
  <c r="V89" i="2" l="1"/>
  <c r="Q90" i="2" l="1"/>
  <c r="R90" i="2" s="1"/>
  <c r="T90" i="2" l="1"/>
  <c r="U90" i="2" l="1"/>
  <c r="V90" i="2" s="1"/>
  <c r="Q91" i="2" s="1"/>
  <c r="R91" i="2" l="1"/>
  <c r="T91" i="2"/>
  <c r="U91" i="2" l="1"/>
  <c r="V91" i="2" l="1"/>
  <c r="Q92" i="2" s="1"/>
  <c r="R92" i="2" l="1"/>
  <c r="T92" i="2"/>
  <c r="U92" i="2" l="1"/>
  <c r="V92" i="2" l="1"/>
  <c r="Q93" i="2" s="1"/>
  <c r="R93" i="2" l="1"/>
  <c r="T93" i="2"/>
  <c r="U93" i="2" l="1"/>
  <c r="V93" i="2" l="1"/>
  <c r="Q94" i="2" s="1"/>
  <c r="R94" i="2" l="1"/>
  <c r="T94" i="2"/>
  <c r="U94" i="2" l="1"/>
  <c r="V94" i="2" l="1"/>
  <c r="Q95" i="2" s="1"/>
  <c r="R95" i="2" l="1"/>
  <c r="T95" i="2"/>
  <c r="U95" i="2" l="1"/>
  <c r="V95" i="2" l="1"/>
  <c r="Q96" i="2" s="1"/>
  <c r="R96" i="2" l="1"/>
  <c r="T96" i="2"/>
  <c r="U96" i="2" l="1"/>
  <c r="V96" i="2" s="1"/>
  <c r="Q97" i="2" l="1"/>
  <c r="R97" i="2" l="1"/>
  <c r="T97" i="2"/>
  <c r="U97" i="2" l="1"/>
  <c r="V97" i="2" l="1"/>
  <c r="Q98" i="2" s="1"/>
  <c r="R98" i="2" l="1"/>
  <c r="T98" i="2"/>
  <c r="U98" i="2" l="1"/>
  <c r="V98" i="2" l="1"/>
  <c r="Q99" i="2" s="1"/>
  <c r="R99" i="2" l="1"/>
  <c r="T99" i="2"/>
  <c r="U99" i="2" l="1"/>
  <c r="V99" i="2" l="1"/>
  <c r="Q100" i="2" s="1"/>
  <c r="R100" i="2" l="1"/>
  <c r="T100" i="2"/>
  <c r="U100" i="2" l="1"/>
  <c r="V100" i="2" l="1"/>
  <c r="Q101" i="2" l="1"/>
  <c r="R101" i="2" s="1"/>
  <c r="T101" i="2" l="1"/>
  <c r="U101" i="2" l="1"/>
  <c r="V101" i="2" s="1"/>
  <c r="Q102" i="2" s="1"/>
  <c r="R102" i="2" l="1"/>
  <c r="T102" i="2"/>
  <c r="U102" i="2" l="1"/>
  <c r="V102" i="2" s="1"/>
  <c r="Q103" i="2" l="1"/>
  <c r="R103" i="2" l="1"/>
  <c r="T103" i="2"/>
  <c r="U103" i="2" l="1"/>
  <c r="V103" i="2" l="1"/>
  <c r="Q104" i="2" l="1"/>
  <c r="T104" i="2" s="1"/>
  <c r="R104" i="2" l="1"/>
  <c r="U104" i="2" l="1"/>
  <c r="V104" i="2" s="1"/>
  <c r="Q105" i="2" s="1"/>
  <c r="R105" i="2" l="1"/>
  <c r="T105" i="2"/>
  <c r="U105" i="2" l="1"/>
  <c r="V105" i="2" l="1"/>
  <c r="Q106" i="2" l="1"/>
  <c r="R106" i="2" s="1"/>
  <c r="T106" i="2" l="1"/>
  <c r="U106" i="2" l="1"/>
  <c r="V106" i="2" s="1"/>
  <c r="Q107" i="2" s="1"/>
  <c r="R107" i="2" l="1"/>
  <c r="T107" i="2"/>
  <c r="U107" i="2" l="1"/>
  <c r="V107" i="2" l="1"/>
  <c r="Q108" i="2" s="1"/>
  <c r="R108" i="2" l="1"/>
  <c r="T108" i="2"/>
  <c r="U108" i="2" l="1"/>
  <c r="V108" i="2" s="1"/>
  <c r="Q109" i="2" l="1"/>
  <c r="R109" i="2" l="1"/>
  <c r="T109" i="2"/>
  <c r="U109" i="2" l="1"/>
  <c r="V109" i="2" l="1"/>
  <c r="Q110" i="2" l="1"/>
  <c r="R110" i="2" s="1"/>
  <c r="T110" i="2" l="1"/>
  <c r="U110" i="2" s="1"/>
  <c r="V110" i="2" l="1"/>
  <c r="Q111" i="2" s="1"/>
  <c r="R111" i="2" l="1"/>
  <c r="T111" i="2"/>
  <c r="U111" i="2" l="1"/>
  <c r="V111" i="2" l="1"/>
  <c r="Q112" i="2" s="1"/>
  <c r="R112" i="2" l="1"/>
  <c r="T112" i="2"/>
  <c r="U112" i="2" l="1"/>
  <c r="V112" i="2" l="1"/>
  <c r="Q113" i="2" l="1"/>
  <c r="R113" i="2" s="1"/>
  <c r="T113" i="2" l="1"/>
  <c r="U113" i="2" s="1"/>
  <c r="V113" i="2" l="1"/>
  <c r="Q114" i="2" s="1"/>
  <c r="R114" i="2" l="1"/>
  <c r="T114" i="2"/>
  <c r="U114" i="2" l="1"/>
  <c r="V114" i="2" s="1"/>
  <c r="Q115" i="2" l="1"/>
  <c r="R115" i="2" l="1"/>
  <c r="T115" i="2"/>
  <c r="U115" i="2" l="1"/>
  <c r="V115" i="2" l="1"/>
  <c r="Q116" i="2" l="1"/>
  <c r="R116" i="2" s="1"/>
  <c r="T116" i="2" l="1"/>
  <c r="U116" i="2" l="1"/>
  <c r="V116" i="2" s="1"/>
  <c r="Q117" i="2" l="1"/>
  <c r="R117" i="2" s="1"/>
  <c r="T117" i="2" l="1"/>
  <c r="U117" i="2" s="1"/>
  <c r="V117" i="2" l="1"/>
  <c r="Q118" i="2" l="1"/>
  <c r="R118" i="2" s="1"/>
  <c r="T118" i="2" l="1"/>
  <c r="U118" i="2" l="1"/>
  <c r="V118" i="2" s="1"/>
  <c r="Q119" i="2" l="1"/>
  <c r="R119" i="2" s="1"/>
  <c r="T119" i="2" l="1"/>
  <c r="U119" i="2" s="1"/>
  <c r="V119" i="2" l="1"/>
  <c r="Q120" i="2" l="1"/>
  <c r="T120" i="2" s="1"/>
  <c r="R120" i="2" l="1"/>
  <c r="U120" i="2" l="1"/>
  <c r="V120" i="2" s="1"/>
  <c r="Q121" i="2" s="1"/>
  <c r="R121" i="2" l="1"/>
  <c r="T121" i="2"/>
  <c r="U121" i="2" l="1"/>
  <c r="V121" i="2" l="1"/>
  <c r="Q122" i="2" s="1"/>
  <c r="R122" i="2" l="1"/>
  <c r="T122" i="2"/>
  <c r="U122" i="2" l="1"/>
  <c r="V122" i="2" l="1"/>
  <c r="Q123" i="2" s="1"/>
  <c r="R123" i="2" l="1"/>
  <c r="T123" i="2"/>
  <c r="U123" i="2" l="1"/>
  <c r="V123" i="2" l="1"/>
  <c r="Q124" i="2" l="1"/>
  <c r="T124" i="2" s="1"/>
  <c r="R124" i="2" l="1"/>
  <c r="U124" i="2" l="1"/>
  <c r="V124" i="2" s="1"/>
  <c r="Q125" i="2" s="1"/>
  <c r="R125" i="2" l="1"/>
  <c r="T125" i="2"/>
  <c r="U125" i="2" l="1"/>
  <c r="V125" i="2" l="1"/>
  <c r="Q126" i="2" l="1"/>
  <c r="R126" i="2" s="1"/>
  <c r="T126" i="2" l="1"/>
  <c r="U126" i="2" l="1"/>
  <c r="V126" i="2" s="1"/>
  <c r="Q127" i="2" s="1"/>
  <c r="R127" i="2" l="1"/>
  <c r="T127" i="2"/>
  <c r="U127" i="2" l="1"/>
  <c r="V127" i="2" l="1"/>
  <c r="Q128" i="2" l="1"/>
  <c r="R128" i="2" s="1"/>
  <c r="T128" i="2" l="1"/>
  <c r="U128" i="2" l="1"/>
  <c r="V128" i="2" s="1"/>
  <c r="Q129" i="2" l="1"/>
  <c r="T129" i="2" s="1"/>
  <c r="R129" i="2" l="1"/>
  <c r="U129" i="2" s="1"/>
  <c r="V129" i="2" l="1"/>
  <c r="Q130" i="2" s="1"/>
  <c r="R130" i="2" l="1"/>
  <c r="T130" i="2"/>
  <c r="U130" i="2" l="1"/>
  <c r="V130" i="2" l="1"/>
  <c r="Q131" i="2" s="1"/>
  <c r="R131" i="2" l="1"/>
  <c r="T131" i="2"/>
  <c r="U131" i="2" l="1"/>
  <c r="V131" i="2" l="1"/>
  <c r="Q132" i="2" s="1"/>
  <c r="R132" i="2" l="1"/>
  <c r="T132" i="2"/>
  <c r="U132" i="2" l="1"/>
  <c r="V132" i="2" s="1"/>
  <c r="Q133" i="2" l="1"/>
  <c r="R133" i="2" l="1"/>
  <c r="T133" i="2"/>
  <c r="U133" i="2" l="1"/>
  <c r="V133" i="2" l="1"/>
  <c r="Q134" i="2" s="1"/>
  <c r="R134" i="2" l="1"/>
  <c r="T134" i="2"/>
  <c r="U134" i="2" l="1"/>
  <c r="V134" i="2" l="1"/>
  <c r="Q135" i="2" s="1"/>
  <c r="R135" i="2" l="1"/>
  <c r="T135" i="2"/>
  <c r="U135" i="2" l="1"/>
  <c r="V135" i="2" l="1"/>
  <c r="Q136" i="2" l="1"/>
  <c r="R136" i="2" s="1"/>
  <c r="T136" i="2" l="1"/>
  <c r="U136" i="2" s="1"/>
  <c r="V136" i="2" l="1"/>
  <c r="Q137" i="2" l="1"/>
  <c r="R137" i="2" s="1"/>
  <c r="T137" i="2" l="1"/>
  <c r="U137" i="2" l="1"/>
  <c r="V137" i="2" s="1"/>
  <c r="Q138" i="2" s="1"/>
  <c r="R138" i="2" l="1"/>
  <c r="T138" i="2"/>
  <c r="U138" i="2" l="1"/>
  <c r="V138" i="2" s="1"/>
  <c r="Q139" i="2" l="1"/>
  <c r="R139" i="2" l="1"/>
  <c r="T139" i="2"/>
  <c r="U139" i="2" l="1"/>
  <c r="V139" i="2" l="1"/>
  <c r="Q140" i="2" s="1"/>
  <c r="R140" i="2" l="1"/>
  <c r="T140" i="2"/>
  <c r="U140" i="2" l="1"/>
  <c r="V140" i="2" l="1"/>
  <c r="Q141" i="2" s="1"/>
  <c r="R141" i="2" l="1"/>
  <c r="T141" i="2"/>
  <c r="U141" i="2" l="1"/>
  <c r="V141" i="2" l="1"/>
  <c r="Q142" i="2" s="1"/>
  <c r="R142" i="2" l="1"/>
  <c r="T142" i="2"/>
  <c r="U142" i="2" l="1"/>
  <c r="V142" i="2" l="1"/>
  <c r="Q143" i="2" l="1"/>
  <c r="R143" i="2" s="1"/>
  <c r="T143" i="2" l="1"/>
  <c r="U143" i="2" s="1"/>
  <c r="V143" i="2" l="1"/>
  <c r="Q144" i="2" s="1"/>
  <c r="R144" i="2" l="1"/>
  <c r="T144" i="2"/>
  <c r="U144" i="2" l="1"/>
  <c r="V144" i="2" s="1"/>
  <c r="Q145" i="2" l="1"/>
  <c r="R145" i="2" l="1"/>
  <c r="T145" i="2"/>
  <c r="U145" i="2" l="1"/>
  <c r="V145" i="2" l="1"/>
  <c r="Q146" i="2" s="1"/>
  <c r="R146" i="2" l="1"/>
  <c r="T146" i="2"/>
  <c r="U146" i="2" l="1"/>
  <c r="V146" i="2" l="1"/>
  <c r="Q147" i="2" l="1"/>
  <c r="R147" i="2" s="1"/>
  <c r="T147" i="2" l="1"/>
  <c r="U147" i="2" l="1"/>
  <c r="V147" i="2" s="1"/>
  <c r="Q148" i="2" s="1"/>
  <c r="I194" i="2"/>
  <c r="K194" i="2"/>
  <c r="L194" i="2" l="1"/>
  <c r="R148" i="2"/>
  <c r="T148" i="2"/>
  <c r="U148" i="2" l="1"/>
  <c r="I195" i="2" l="1"/>
  <c r="K195" i="2"/>
  <c r="V148" i="2"/>
  <c r="Q149" i="2" l="1"/>
  <c r="R149" i="2" s="1"/>
  <c r="L195" i="2"/>
  <c r="T149" i="2" l="1"/>
  <c r="U149" i="2" l="1"/>
  <c r="V149" i="2" s="1"/>
  <c r="Q150" i="2" s="1"/>
  <c r="I196" i="2"/>
  <c r="K196" i="2"/>
  <c r="L196" i="2" l="1"/>
  <c r="R150" i="2"/>
  <c r="T150" i="2"/>
  <c r="U150" i="2" l="1"/>
  <c r="V150" i="2" s="1"/>
  <c r="I197" i="2" l="1"/>
  <c r="K197" i="2"/>
  <c r="Q151" i="2"/>
  <c r="L197" i="2" l="1"/>
  <c r="R151" i="2"/>
  <c r="T151" i="2"/>
  <c r="U151" i="2" l="1"/>
  <c r="I198" i="2" l="1"/>
  <c r="K198" i="2"/>
  <c r="V151" i="2"/>
  <c r="Q152" i="2" s="1"/>
  <c r="L198" i="2" l="1"/>
  <c r="R152" i="2"/>
  <c r="T152" i="2"/>
  <c r="U152" i="2" l="1"/>
  <c r="I199" i="2" l="1"/>
  <c r="K199" i="2"/>
  <c r="V152" i="2"/>
  <c r="L199" i="2" l="1"/>
  <c r="Q153" i="2"/>
  <c r="R153" i="2" l="1"/>
  <c r="T153" i="2"/>
  <c r="I200" i="2" l="1"/>
  <c r="K200" i="2"/>
  <c r="U153" i="2"/>
  <c r="L200" i="2" l="1"/>
  <c r="V153" i="2"/>
  <c r="Q154" i="2" l="1"/>
  <c r="I201" i="2" l="1"/>
  <c r="K201" i="2"/>
  <c r="R154" i="2"/>
  <c r="T154" i="2"/>
  <c r="L201" i="2" l="1"/>
  <c r="U154" i="2"/>
  <c r="V154" i="2" l="1"/>
  <c r="I202" i="2" l="1"/>
  <c r="K202" i="2"/>
  <c r="Q155" i="2"/>
  <c r="L202" i="2" l="1"/>
  <c r="R155" i="2"/>
  <c r="T155" i="2"/>
  <c r="U155" i="2" l="1"/>
  <c r="I203" i="2" l="1"/>
  <c r="K203" i="2"/>
  <c r="V155" i="2"/>
  <c r="L203" i="2" l="1"/>
  <c r="Q156" i="2"/>
  <c r="R156" i="2" l="1"/>
  <c r="T156" i="2"/>
  <c r="I204" i="2" l="1"/>
  <c r="K204" i="2"/>
  <c r="U156" i="2"/>
  <c r="L204" i="2" l="1"/>
  <c r="V156" i="2"/>
  <c r="Q157" i="2" l="1"/>
  <c r="I205" i="2" l="1"/>
  <c r="K205" i="2"/>
  <c r="R157" i="2"/>
  <c r="T157" i="2"/>
  <c r="L205" i="2" l="1"/>
  <c r="U157" i="2"/>
  <c r="V157" i="2" l="1"/>
  <c r="Q158" i="2" s="1"/>
  <c r="I206" i="2" l="1"/>
  <c r="K206" i="2"/>
  <c r="R158" i="2"/>
  <c r="T158" i="2"/>
  <c r="L206" i="2" l="1"/>
  <c r="U158" i="2"/>
  <c r="V158" i="2" l="1"/>
  <c r="Q159" i="2" s="1"/>
  <c r="I207" i="2" l="1"/>
  <c r="K207" i="2"/>
  <c r="R159" i="2"/>
  <c r="T159" i="2"/>
  <c r="L207" i="2" l="1"/>
  <c r="U159" i="2"/>
  <c r="V159" i="2" s="1"/>
  <c r="Q160" i="2" l="1"/>
  <c r="I208" i="2" l="1"/>
  <c r="K208" i="2"/>
  <c r="R160" i="2"/>
  <c r="T160" i="2"/>
  <c r="L208" i="2" l="1"/>
  <c r="U160" i="2"/>
  <c r="V160" i="2" s="1"/>
  <c r="Q161" i="2" l="1"/>
  <c r="I209" i="2" l="1"/>
  <c r="K209" i="2"/>
  <c r="R161" i="2"/>
  <c r="T161" i="2"/>
  <c r="L209" i="2" l="1"/>
  <c r="U161" i="2"/>
  <c r="V161" i="2" s="1"/>
  <c r="Q162" i="2" l="1"/>
  <c r="I210" i="2" l="1"/>
  <c r="K210" i="2"/>
  <c r="R162" i="2"/>
  <c r="T162" i="2"/>
  <c r="L210" i="2" l="1"/>
  <c r="U162" i="2"/>
  <c r="V162" i="2" s="1"/>
  <c r="Q163" i="2" l="1"/>
  <c r="I211" i="2" l="1"/>
  <c r="K211" i="2"/>
  <c r="R163" i="2"/>
  <c r="T163" i="2"/>
  <c r="L211" i="2" l="1"/>
  <c r="U163" i="2"/>
  <c r="V163" i="2" l="1"/>
  <c r="Q164" i="2" s="1"/>
  <c r="I212" i="2" l="1"/>
  <c r="K212" i="2"/>
  <c r="R164" i="2"/>
  <c r="T164" i="2"/>
  <c r="L212" i="2" l="1"/>
  <c r="U164" i="2"/>
  <c r="V164" i="2" s="1"/>
  <c r="I213" i="2" l="1"/>
  <c r="K213" i="2"/>
  <c r="Q165" i="2"/>
  <c r="L213" i="2" l="1"/>
  <c r="R165" i="2"/>
  <c r="T165" i="2"/>
  <c r="I214" i="2" l="1"/>
  <c r="K214" i="2"/>
  <c r="U165" i="2"/>
  <c r="V165" i="2" s="1"/>
  <c r="L214" i="2" l="1"/>
  <c r="Q166" i="2"/>
  <c r="I215" i="2" l="1"/>
  <c r="K215" i="2"/>
  <c r="R166" i="2"/>
  <c r="T166" i="2"/>
  <c r="L215" i="2" l="1"/>
  <c r="U166" i="2"/>
  <c r="V166" i="2" s="1"/>
  <c r="I216" i="2" l="1"/>
  <c r="K216" i="2"/>
  <c r="Q167" i="2"/>
  <c r="L216" i="2" l="1"/>
  <c r="R167" i="2"/>
  <c r="T167" i="2"/>
  <c r="I217" i="2" l="1"/>
  <c r="K217" i="2"/>
  <c r="U167" i="2"/>
  <c r="V167" i="2" s="1"/>
  <c r="L217" i="2" l="1"/>
  <c r="Q168" i="2"/>
  <c r="R168" i="2" l="1"/>
  <c r="T168" i="2"/>
  <c r="I218" i="2" l="1"/>
  <c r="K218" i="2"/>
  <c r="U168" i="2"/>
  <c r="V168" i="2" s="1"/>
  <c r="L218" i="2" l="1"/>
  <c r="Q169" i="2"/>
  <c r="R169" i="2" l="1"/>
  <c r="T169" i="2"/>
  <c r="I219" i="2" l="1"/>
  <c r="K219" i="2"/>
  <c r="U169" i="2"/>
  <c r="L219" i="2" l="1"/>
  <c r="V169" i="2"/>
  <c r="Q170" i="2" l="1"/>
  <c r="R170" i="2" s="1"/>
  <c r="I220" i="2" l="1"/>
  <c r="K220" i="2"/>
  <c r="T170" i="2"/>
  <c r="U170" i="2" s="1"/>
  <c r="L220" i="2" l="1"/>
  <c r="V170" i="2"/>
  <c r="Q171" i="2" s="1"/>
  <c r="R171" i="2" l="1"/>
  <c r="T171" i="2"/>
  <c r="I221" i="2" l="1"/>
  <c r="K221" i="2"/>
  <c r="U171" i="2"/>
  <c r="V171" i="2" s="1"/>
  <c r="L221" i="2" l="1"/>
  <c r="Q172" i="2"/>
  <c r="R172" i="2" l="1"/>
  <c r="T172" i="2"/>
  <c r="I222" i="2" l="1"/>
  <c r="K222" i="2"/>
  <c r="U172" i="2"/>
  <c r="V172" i="2" s="1"/>
  <c r="L222" i="2" l="1"/>
  <c r="Q173" i="2"/>
  <c r="R173" i="2" l="1"/>
  <c r="T173" i="2"/>
  <c r="I223" i="2" l="1"/>
  <c r="K223" i="2"/>
  <c r="U173" i="2"/>
  <c r="V173" i="2" s="1"/>
  <c r="L223" i="2" l="1"/>
  <c r="Q174" i="2"/>
  <c r="R174" i="2" l="1"/>
  <c r="T174" i="2"/>
  <c r="I224" i="2" l="1"/>
  <c r="K224" i="2"/>
  <c r="U174" i="2"/>
  <c r="V174" i="2" s="1"/>
  <c r="L224" i="2" l="1"/>
  <c r="Q175" i="2"/>
  <c r="I225" i="2" l="1"/>
  <c r="K225" i="2"/>
  <c r="R175" i="2"/>
  <c r="T175" i="2"/>
  <c r="L225" i="2" l="1"/>
  <c r="U175" i="2"/>
  <c r="I226" i="2" l="1"/>
  <c r="K226" i="2"/>
  <c r="V175" i="2"/>
  <c r="Q176" i="2" s="1"/>
  <c r="L226" i="2" l="1"/>
  <c r="R176" i="2"/>
  <c r="T176" i="2"/>
  <c r="I227" i="2" l="1"/>
  <c r="K227" i="2"/>
  <c r="U176" i="2"/>
  <c r="L227" i="2" l="1"/>
  <c r="V176" i="2"/>
  <c r="I228" i="2" l="1"/>
  <c r="K228" i="2"/>
  <c r="Q177" i="2"/>
  <c r="R177" i="2" s="1"/>
  <c r="L228" i="2" l="1"/>
  <c r="T177" i="2"/>
  <c r="I229" i="2" l="1"/>
  <c r="K229" i="2"/>
  <c r="U177" i="2"/>
  <c r="V177" i="2" s="1"/>
  <c r="Q178" i="2" l="1"/>
  <c r="R178" i="2" s="1"/>
  <c r="L229" i="2"/>
  <c r="T178" i="2" l="1"/>
  <c r="U178" i="2" s="1"/>
  <c r="V178" i="2" s="1"/>
  <c r="Q179" i="2" l="1"/>
  <c r="R179" i="2" l="1"/>
  <c r="T179" i="2"/>
  <c r="U179" i="2" l="1"/>
  <c r="V179" i="2" s="1"/>
  <c r="Q180" i="2" l="1"/>
  <c r="R180" i="2" l="1"/>
  <c r="T180" i="2"/>
  <c r="U180" i="2" l="1"/>
  <c r="V180" i="2" s="1"/>
  <c r="Q181" i="2" l="1"/>
  <c r="R181" i="2" l="1"/>
  <c r="T181" i="2"/>
  <c r="U181" i="2" l="1"/>
  <c r="V181" i="2" l="1"/>
  <c r="Q182" i="2" s="1"/>
  <c r="R182" i="2" l="1"/>
  <c r="T182" i="2"/>
  <c r="U182" i="2" l="1"/>
  <c r="V182" i="2" l="1"/>
  <c r="Q183" i="2" s="1"/>
  <c r="R183" i="2" l="1"/>
  <c r="T183" i="2"/>
  <c r="U183" i="2" l="1"/>
  <c r="V183" i="2" s="1"/>
  <c r="Q184" i="2" l="1"/>
  <c r="R184" i="2" l="1"/>
  <c r="T184" i="2"/>
  <c r="U184" i="2" l="1"/>
  <c r="V184" i="2" s="1"/>
  <c r="Q185" i="2" l="1"/>
  <c r="R185" i="2" l="1"/>
  <c r="T185" i="2"/>
  <c r="U185" i="2" l="1"/>
  <c r="V185" i="2" s="1"/>
  <c r="Q186" i="2" l="1"/>
  <c r="R186" i="2" l="1"/>
  <c r="T186" i="2"/>
  <c r="U186" i="2" l="1"/>
  <c r="V186" i="2" s="1"/>
  <c r="Q187" i="2" l="1"/>
  <c r="R187" i="2" l="1"/>
  <c r="T187" i="2"/>
  <c r="U187" i="2" l="1"/>
  <c r="V187" i="2" l="1"/>
  <c r="Q188" i="2" s="1"/>
  <c r="R188" i="2" l="1"/>
  <c r="T188" i="2"/>
  <c r="U188" i="2" l="1"/>
  <c r="V188" i="2" s="1"/>
  <c r="Q189" i="2" l="1"/>
  <c r="R189" i="2" l="1"/>
  <c r="T189" i="2"/>
  <c r="U189" i="2" l="1"/>
  <c r="V189" i="2" s="1"/>
  <c r="Q190" i="2" l="1"/>
  <c r="T190" i="2" l="1"/>
  <c r="R190" i="2"/>
  <c r="U190" i="2" l="1"/>
  <c r="V190" i="2" s="1"/>
  <c r="Q191" i="2" l="1"/>
  <c r="T191" i="2" l="1"/>
  <c r="R191" i="2"/>
  <c r="U191" i="2" l="1"/>
  <c r="V191" i="2" s="1"/>
  <c r="Q192" i="2" l="1"/>
  <c r="R192" i="2" l="1"/>
  <c r="T192" i="2"/>
  <c r="U192" i="2" l="1"/>
  <c r="V192" i="2" s="1"/>
  <c r="Q193" i="2" l="1"/>
  <c r="T193" i="2" l="1"/>
  <c r="R193" i="2"/>
  <c r="U193" i="2" l="1"/>
  <c r="V193" i="2" l="1"/>
  <c r="Q194" i="2" l="1"/>
  <c r="R194" i="2" l="1"/>
  <c r="T194" i="2"/>
  <c r="Z194" i="2" s="1"/>
  <c r="AA194" i="2" l="1"/>
  <c r="U194" i="2"/>
  <c r="V194" i="2" l="1"/>
  <c r="Q195" i="2" l="1"/>
  <c r="R195" i="2" l="1"/>
  <c r="T195" i="2"/>
  <c r="Z195" i="2" s="1"/>
  <c r="AA195" i="2" l="1"/>
  <c r="U195" i="2"/>
  <c r="V195" i="2" l="1"/>
  <c r="Q196" i="2" l="1"/>
  <c r="R196" i="2" l="1"/>
  <c r="T196" i="2"/>
  <c r="Z196" i="2" s="1"/>
  <c r="AA196" i="2" l="1"/>
  <c r="U196" i="2"/>
  <c r="V196" i="2" l="1"/>
  <c r="Q197" i="2" l="1"/>
  <c r="R197" i="2" l="1"/>
  <c r="AA197" i="2" s="1"/>
  <c r="T197" i="2"/>
  <c r="Z197" i="2" s="1"/>
  <c r="U197" i="2" l="1"/>
  <c r="V197" i="2" l="1"/>
  <c r="Q198" i="2" l="1"/>
  <c r="R198" i="2" l="1"/>
  <c r="AA198" i="2" s="1"/>
  <c r="T198" i="2"/>
  <c r="Z198" i="2" s="1"/>
  <c r="U198" i="2" l="1"/>
  <c r="V198" i="2" l="1"/>
  <c r="Q199" i="2" l="1"/>
  <c r="R199" i="2" l="1"/>
  <c r="T199" i="2"/>
  <c r="Z199" i="2" s="1"/>
  <c r="AA199" i="2" l="1"/>
  <c r="G35" i="3" s="1"/>
  <c r="U199" i="2"/>
  <c r="D35" i="3"/>
  <c r="F35" i="3" l="1"/>
  <c r="V199" i="2"/>
  <c r="Q200" i="2" l="1"/>
  <c r="R200" i="2" l="1"/>
  <c r="T200" i="2"/>
  <c r="Z200" i="2" s="1"/>
  <c r="AA200" i="2" l="1"/>
  <c r="U200" i="2"/>
  <c r="V200" i="2" l="1"/>
  <c r="Q201" i="2" l="1"/>
  <c r="R201" i="2" l="1"/>
  <c r="T201" i="2"/>
  <c r="Z201" i="2" s="1"/>
  <c r="AA201" i="2" l="1"/>
  <c r="U201" i="2"/>
  <c r="V201" i="2" l="1"/>
  <c r="Q202" i="2" l="1"/>
  <c r="R202" i="2" l="1"/>
  <c r="T202" i="2"/>
  <c r="Z202" i="2" s="1"/>
  <c r="AA202" i="2" l="1"/>
  <c r="U202" i="2"/>
  <c r="V202" i="2" s="1"/>
  <c r="Q203" i="2" l="1"/>
  <c r="R203" i="2" l="1"/>
  <c r="AA203" i="2" s="1"/>
  <c r="T203" i="2"/>
  <c r="Z203" i="2" s="1"/>
  <c r="U203" i="2" l="1"/>
  <c r="V203" i="2" s="1"/>
  <c r="Q204" i="2" l="1"/>
  <c r="R204" i="2" l="1"/>
  <c r="AA204" i="2" s="1"/>
  <c r="T204" i="2"/>
  <c r="Z204" i="2" s="1"/>
  <c r="U204" i="2" l="1"/>
  <c r="V204" i="2" s="1"/>
  <c r="Q205" i="2" l="1"/>
  <c r="R205" i="2" l="1"/>
  <c r="T205" i="2"/>
  <c r="Z205" i="2" s="1"/>
  <c r="AA205" i="2" l="1"/>
  <c r="G36" i="3" s="1"/>
  <c r="U205" i="2"/>
  <c r="D36" i="3"/>
  <c r="F36" i="3" l="1"/>
  <c r="V205" i="2"/>
  <c r="Q206" i="2" l="1"/>
  <c r="R206" i="2" l="1"/>
  <c r="T206" i="2"/>
  <c r="Z206" i="2" s="1"/>
  <c r="AA206" i="2" l="1"/>
  <c r="U206" i="2"/>
  <c r="V206" i="2" l="1"/>
  <c r="Q207" i="2" s="1"/>
  <c r="R207" i="2" l="1"/>
  <c r="T207" i="2"/>
  <c r="Z207" i="2" s="1"/>
  <c r="AA207" i="2" l="1"/>
  <c r="U207" i="2"/>
  <c r="V207" i="2" l="1"/>
  <c r="Q208" i="2" s="1"/>
  <c r="R208" i="2" l="1"/>
  <c r="T208" i="2"/>
  <c r="Z208" i="2" s="1"/>
  <c r="AA208" i="2" l="1"/>
  <c r="U208" i="2"/>
  <c r="V208" i="2" l="1"/>
  <c r="Q209" i="2" s="1"/>
  <c r="R209" i="2" l="1"/>
  <c r="AA209" i="2" s="1"/>
  <c r="T209" i="2"/>
  <c r="Z209" i="2" s="1"/>
  <c r="U209" i="2" l="1"/>
  <c r="V209" i="2" s="1"/>
  <c r="Q210" i="2" l="1"/>
  <c r="R210" i="2" l="1"/>
  <c r="AA210" i="2" s="1"/>
  <c r="T210" i="2"/>
  <c r="Z210" i="2" s="1"/>
  <c r="U210" i="2" l="1"/>
  <c r="V210" i="2" s="1"/>
  <c r="Q211" i="2" l="1"/>
  <c r="R211" i="2" l="1"/>
  <c r="T211" i="2"/>
  <c r="Z211" i="2" s="1"/>
  <c r="AA211" i="2" l="1"/>
  <c r="G37" i="3" s="1"/>
  <c r="U211" i="2"/>
  <c r="D37" i="3"/>
  <c r="F37" i="3" l="1"/>
  <c r="V211" i="2"/>
  <c r="Q212" i="2" l="1"/>
  <c r="R212" i="2" l="1"/>
  <c r="T212" i="2"/>
  <c r="Z212" i="2" s="1"/>
  <c r="AA212" i="2" l="1"/>
  <c r="U212" i="2"/>
  <c r="V212" i="2" l="1"/>
  <c r="Q213" i="2" l="1"/>
  <c r="R213" i="2" l="1"/>
  <c r="T213" i="2"/>
  <c r="Z213" i="2" s="1"/>
  <c r="AA213" i="2" l="1"/>
  <c r="U213" i="2"/>
  <c r="V213" i="2" l="1"/>
  <c r="Q214" i="2" l="1"/>
  <c r="R214" i="2" l="1"/>
  <c r="T214" i="2"/>
  <c r="Z214" i="2" s="1"/>
  <c r="AA214" i="2" l="1"/>
  <c r="U214" i="2"/>
  <c r="V214" i="2" l="1"/>
  <c r="Q215" i="2" l="1"/>
  <c r="R215" i="2" l="1"/>
  <c r="AA215" i="2" s="1"/>
  <c r="T215" i="2"/>
  <c r="Z215" i="2" s="1"/>
  <c r="U215" i="2" l="1"/>
  <c r="V215" i="2" l="1"/>
  <c r="Q216" i="2" l="1"/>
  <c r="R216" i="2" l="1"/>
  <c r="AA216" i="2" s="1"/>
  <c r="T216" i="2"/>
  <c r="Z216" i="2" s="1"/>
  <c r="U216" i="2" l="1"/>
  <c r="V216" i="2" l="1"/>
  <c r="Q217" i="2" l="1"/>
  <c r="R217" i="2" l="1"/>
  <c r="T217" i="2"/>
  <c r="Z217" i="2" s="1"/>
  <c r="AA217" i="2" l="1"/>
  <c r="D38" i="3"/>
  <c r="U217" i="2"/>
  <c r="G38" i="3" l="1"/>
  <c r="F38" i="3"/>
  <c r="V217" i="2"/>
  <c r="Q218" i="2" l="1"/>
  <c r="R218" i="2" l="1"/>
  <c r="T218" i="2"/>
  <c r="Z218" i="2" s="1"/>
  <c r="AA218" i="2" l="1"/>
  <c r="U218" i="2"/>
  <c r="V218" i="2" l="1"/>
  <c r="Q219" i="2" l="1"/>
  <c r="R219" i="2" l="1"/>
  <c r="T219" i="2"/>
  <c r="Z219" i="2" s="1"/>
  <c r="AA219" i="2" l="1"/>
  <c r="U219" i="2"/>
  <c r="V219" i="2" l="1"/>
  <c r="Q220" i="2" l="1"/>
  <c r="R220" i="2" l="1"/>
  <c r="T220" i="2"/>
  <c r="Z220" i="2" s="1"/>
  <c r="AA220" i="2" l="1"/>
  <c r="U220" i="2"/>
  <c r="V220" i="2" l="1"/>
  <c r="Q221" i="2" l="1"/>
  <c r="R221" i="2" l="1"/>
  <c r="AA221" i="2" s="1"/>
  <c r="T221" i="2"/>
  <c r="Z221" i="2" s="1"/>
  <c r="U221" i="2" l="1"/>
  <c r="V221" i="2" l="1"/>
  <c r="Q222" i="2" l="1"/>
  <c r="R222" i="2" l="1"/>
  <c r="AA222" i="2" s="1"/>
  <c r="T222" i="2"/>
  <c r="Z222" i="2" s="1"/>
  <c r="U222" i="2" l="1"/>
  <c r="V222" i="2" s="1"/>
  <c r="Q223" i="2" l="1"/>
  <c r="R223" i="2" l="1"/>
  <c r="T223" i="2"/>
  <c r="Z223" i="2" s="1"/>
  <c r="AA223" i="2" l="1"/>
  <c r="G39" i="3" s="1"/>
  <c r="U223" i="2"/>
  <c r="D39" i="3"/>
  <c r="F39" i="3" l="1"/>
  <c r="V223" i="2"/>
  <c r="Q224" i="2" l="1"/>
  <c r="R224" i="2" l="1"/>
  <c r="T224" i="2"/>
  <c r="Z224" i="2" s="1"/>
  <c r="AA224" i="2" l="1"/>
  <c r="U224" i="2"/>
  <c r="V224" i="2" l="1"/>
  <c r="Q225" i="2" l="1"/>
  <c r="R225" i="2" l="1"/>
  <c r="T225" i="2"/>
  <c r="Z225" i="2" s="1"/>
  <c r="AA225" i="2" l="1"/>
  <c r="U225" i="2"/>
  <c r="V225" i="2" l="1"/>
  <c r="Q226" i="2" l="1"/>
  <c r="R226" i="2" l="1"/>
  <c r="T226" i="2"/>
  <c r="Z226" i="2" s="1"/>
  <c r="AA226" i="2" l="1"/>
  <c r="U226" i="2"/>
  <c r="V226" i="2" l="1"/>
  <c r="Q227" i="2" l="1"/>
  <c r="R227" i="2" l="1"/>
  <c r="AA227" i="2" s="1"/>
  <c r="T227" i="2"/>
  <c r="Z227" i="2" s="1"/>
  <c r="U227" i="2" l="1"/>
  <c r="V227" i="2" l="1"/>
  <c r="Q228" i="2" l="1"/>
  <c r="R228" i="2" l="1"/>
  <c r="AA228" i="2" s="1"/>
  <c r="T228" i="2"/>
  <c r="Z228" i="2" s="1"/>
  <c r="U228" i="2" l="1"/>
  <c r="V228" i="2" l="1"/>
  <c r="Q229" i="2" l="1"/>
  <c r="R229" i="2" l="1"/>
  <c r="T229" i="2"/>
  <c r="Z229" i="2" s="1"/>
  <c r="AA229" i="2" l="1"/>
  <c r="G40" i="3" s="1"/>
  <c r="U229" i="2"/>
  <c r="T231" i="2"/>
  <c r="R231" i="2"/>
  <c r="D40" i="3"/>
  <c r="U234" i="2" l="1"/>
  <c r="U231" i="2"/>
  <c r="C44" i="1" s="1"/>
  <c r="F40" i="3"/>
  <c r="V229" i="2"/>
  <c r="Q230" i="2" l="1"/>
  <c r="V230" i="2" l="1"/>
  <c r="Q231" i="2"/>
  <c r="V231" i="2" l="1"/>
  <c r="W37" i="2" l="1"/>
  <c r="AB37" i="2" l="1"/>
  <c r="I38" i="2"/>
  <c r="D43" i="6" s="1"/>
  <c r="K38" i="2"/>
  <c r="Z38" i="2" s="1"/>
  <c r="AA38" i="2" l="1"/>
  <c r="G43" i="6" s="1"/>
  <c r="H8" i="3"/>
  <c r="L38" i="2"/>
  <c r="F43" i="6" s="1"/>
  <c r="H43" i="6" l="1"/>
  <c r="N38" i="2"/>
  <c r="G39" i="2" s="1"/>
  <c r="W38" i="2" l="1"/>
  <c r="AB38" i="2" s="1"/>
  <c r="I39" i="2" l="1"/>
  <c r="D44" i="6" s="1"/>
  <c r="K39" i="2"/>
  <c r="Z39" i="2" s="1"/>
  <c r="AA39" i="2" l="1"/>
  <c r="G44" i="6" s="1"/>
  <c r="L39" i="2"/>
  <c r="F44" i="6" s="1"/>
  <c r="H44" i="6" l="1"/>
  <c r="N39" i="2"/>
  <c r="G40" i="2" s="1"/>
  <c r="W39" i="2" l="1"/>
  <c r="AB39" i="2" s="1"/>
  <c r="I40" i="2" l="1"/>
  <c r="D45" i="6" s="1"/>
  <c r="K40" i="2"/>
  <c r="Z40" i="2" s="1"/>
  <c r="AA40" i="2" l="1"/>
  <c r="G45" i="6" s="1"/>
  <c r="L40" i="2"/>
  <c r="F45" i="6" s="1"/>
  <c r="H45" i="6" l="1"/>
  <c r="N40" i="2"/>
  <c r="G41" i="2" s="1"/>
  <c r="W40" i="2" l="1"/>
  <c r="AB40" i="2" s="1"/>
  <c r="I41" i="2" l="1"/>
  <c r="D46" i="6" s="1"/>
  <c r="K41" i="2"/>
  <c r="Z41" i="2" s="1"/>
  <c r="AA41" i="2" l="1"/>
  <c r="G46" i="6" s="1"/>
  <c r="L41" i="2"/>
  <c r="F46" i="6" s="1"/>
  <c r="H46" i="6" l="1"/>
  <c r="N41" i="2"/>
  <c r="G42" i="2" s="1"/>
  <c r="W41" i="2" l="1"/>
  <c r="AB41" i="2" s="1"/>
  <c r="K42" i="2" l="1"/>
  <c r="Z42" i="2" s="1"/>
  <c r="I42" i="2"/>
  <c r="D47" i="6" s="1"/>
  <c r="AA42" i="2" l="1"/>
  <c r="G47" i="6" s="1"/>
  <c r="L42" i="2"/>
  <c r="F47" i="6" s="1"/>
  <c r="N42" i="2" l="1"/>
  <c r="G43" i="2" s="1"/>
  <c r="H47" i="6"/>
  <c r="W42" i="2" l="1"/>
  <c r="AB42" i="2" s="1"/>
  <c r="K43" i="2" l="1"/>
  <c r="Z43" i="2" s="1"/>
  <c r="I43" i="2"/>
  <c r="D48" i="6" s="1"/>
  <c r="AA43" i="2" l="1"/>
  <c r="G48" i="6" s="1"/>
  <c r="L43" i="2"/>
  <c r="F48" i="6" s="1"/>
  <c r="D9" i="3"/>
  <c r="G9" i="3" l="1"/>
  <c r="N43" i="2"/>
  <c r="G44" i="2" s="1"/>
  <c r="H48" i="6"/>
  <c r="F9" i="3"/>
  <c r="W43" i="2" l="1"/>
  <c r="AB43" i="2" l="1"/>
  <c r="I44" i="2"/>
  <c r="D49" i="6" s="1"/>
  <c r="K44" i="2"/>
  <c r="Z44" i="2" s="1"/>
  <c r="AA44" i="2" l="1"/>
  <c r="G49" i="6" s="1"/>
  <c r="H9" i="3"/>
  <c r="L44" i="2"/>
  <c r="F49" i="6" s="1"/>
  <c r="H49" i="6" l="1"/>
  <c r="N44" i="2"/>
  <c r="G45" i="2" s="1"/>
  <c r="W44" i="2" l="1"/>
  <c r="AB44" i="2" s="1"/>
  <c r="I45" i="2" l="1"/>
  <c r="D50" i="6" s="1"/>
  <c r="K45" i="2"/>
  <c r="Z45" i="2" s="1"/>
  <c r="AA45" i="2" l="1"/>
  <c r="G50" i="6" s="1"/>
  <c r="L45" i="2"/>
  <c r="F50" i="6" s="1"/>
  <c r="H50" i="6" l="1"/>
  <c r="N45" i="2"/>
  <c r="G46" i="2" s="1"/>
  <c r="W45" i="2" l="1"/>
  <c r="AB45" i="2" s="1"/>
  <c r="I46" i="2" l="1"/>
  <c r="D51" i="6" s="1"/>
  <c r="K46" i="2"/>
  <c r="Z46" i="2" s="1"/>
  <c r="AA46" i="2" l="1"/>
  <c r="G51" i="6" s="1"/>
  <c r="L46" i="2"/>
  <c r="F51" i="6" s="1"/>
  <c r="H51" i="6" l="1"/>
  <c r="N46" i="2"/>
  <c r="G47" i="2" s="1"/>
  <c r="W46" i="2" l="1"/>
  <c r="AB46" i="2" s="1"/>
  <c r="I47" i="2" l="1"/>
  <c r="D52" i="6" s="1"/>
  <c r="K47" i="2"/>
  <c r="Z47" i="2" s="1"/>
  <c r="AA47" i="2" l="1"/>
  <c r="G52" i="6" s="1"/>
  <c r="L47" i="2"/>
  <c r="F52" i="6" s="1"/>
  <c r="H52" i="6" l="1"/>
  <c r="N47" i="2"/>
  <c r="G48" i="2" s="1"/>
  <c r="W47" i="2" l="1"/>
  <c r="AB47" i="2" s="1"/>
  <c r="I48" i="2" l="1"/>
  <c r="D53" i="6" s="1"/>
  <c r="K48" i="2"/>
  <c r="Z48" i="2" s="1"/>
  <c r="AA48" i="2" l="1"/>
  <c r="G53" i="6" s="1"/>
  <c r="L48" i="2"/>
  <c r="F53" i="6" s="1"/>
  <c r="N48" i="2" l="1"/>
  <c r="G49" i="2" s="1"/>
  <c r="H53" i="6"/>
  <c r="W48" i="2" l="1"/>
  <c r="AB48" i="2" s="1"/>
  <c r="I49" i="2" l="1"/>
  <c r="K49" i="2"/>
  <c r="Z49" i="2" s="1"/>
  <c r="D54" i="6" l="1"/>
  <c r="O49" i="2"/>
  <c r="AA49" i="2"/>
  <c r="G54" i="6" s="1"/>
  <c r="L49" i="2"/>
  <c r="F54" i="6" s="1"/>
  <c r="D10" i="3"/>
  <c r="E54" i="6" l="1"/>
  <c r="E10" i="3"/>
  <c r="H54" i="6"/>
  <c r="G10" i="3"/>
  <c r="N49" i="2"/>
  <c r="G50" i="2" s="1"/>
  <c r="F10" i="3"/>
  <c r="W49" i="2" l="1"/>
  <c r="AB49" i="2" l="1"/>
  <c r="I50" i="2"/>
  <c r="D55" i="6" s="1"/>
  <c r="K50" i="2"/>
  <c r="Z50" i="2" s="1"/>
  <c r="H10" i="3" l="1"/>
  <c r="AA50" i="2"/>
  <c r="G55" i="6" s="1"/>
  <c r="L50" i="2"/>
  <c r="F55" i="6" s="1"/>
  <c r="H55" i="6" l="1"/>
  <c r="N50" i="2"/>
  <c r="G51" i="2" s="1"/>
  <c r="W50" i="2" l="1"/>
  <c r="AB50" i="2" s="1"/>
  <c r="K51" i="2" l="1"/>
  <c r="Z51" i="2" s="1"/>
  <c r="I51" i="2"/>
  <c r="D56" i="6" s="1"/>
  <c r="AA51" i="2" l="1"/>
  <c r="G56" i="6" s="1"/>
  <c r="L51" i="2"/>
  <c r="F56" i="6" s="1"/>
  <c r="H56" i="6" l="1"/>
  <c r="N51" i="2"/>
  <c r="G52" i="2" s="1"/>
  <c r="W51" i="2" l="1"/>
  <c r="AB51" i="2" s="1"/>
  <c r="K52" i="2" l="1"/>
  <c r="Z52" i="2" s="1"/>
  <c r="I52" i="2"/>
  <c r="D57" i="6" s="1"/>
  <c r="AA52" i="2" l="1"/>
  <c r="G57" i="6" s="1"/>
  <c r="L52" i="2"/>
  <c r="F57" i="6" s="1"/>
  <c r="H57" i="6" l="1"/>
  <c r="N52" i="2"/>
  <c r="G53" i="2" s="1"/>
  <c r="W52" i="2" l="1"/>
  <c r="AB52" i="2" s="1"/>
  <c r="K53" i="2" l="1"/>
  <c r="Z53" i="2" s="1"/>
  <c r="I53" i="2"/>
  <c r="D58" i="6" s="1"/>
  <c r="AA53" i="2" l="1"/>
  <c r="G58" i="6" s="1"/>
  <c r="L53" i="2"/>
  <c r="F58" i="6" s="1"/>
  <c r="H58" i="6" l="1"/>
  <c r="N53" i="2"/>
  <c r="G54" i="2" s="1"/>
  <c r="W53" i="2" l="1"/>
  <c r="AB53" i="2" s="1"/>
  <c r="I54" i="2" l="1"/>
  <c r="D59" i="6" s="1"/>
  <c r="K54" i="2"/>
  <c r="Z54" i="2" s="1"/>
  <c r="AA54" i="2" l="1"/>
  <c r="G59" i="6" s="1"/>
  <c r="L54" i="2"/>
  <c r="F59" i="6" s="1"/>
  <c r="N54" i="2" l="1"/>
  <c r="G55" i="2" s="1"/>
  <c r="H59" i="6"/>
  <c r="W54" i="2" l="1"/>
  <c r="AB54" i="2" s="1"/>
  <c r="K55" i="2" l="1"/>
  <c r="Z55" i="2" s="1"/>
  <c r="I55" i="2"/>
  <c r="D60" i="6" s="1"/>
  <c r="AA55" i="2" l="1"/>
  <c r="G60" i="6" s="1"/>
  <c r="L55" i="2"/>
  <c r="F60" i="6" s="1"/>
  <c r="D11" i="3"/>
  <c r="H60" i="6" l="1"/>
  <c r="N55" i="2"/>
  <c r="G56" i="2" s="1"/>
  <c r="G11" i="3"/>
  <c r="F11" i="3"/>
  <c r="W55" i="2" l="1"/>
  <c r="AB55" i="2" l="1"/>
  <c r="I56" i="2"/>
  <c r="D61" i="6" s="1"/>
  <c r="K56" i="2"/>
  <c r="Z56" i="2" s="1"/>
  <c r="H11" i="3" l="1"/>
  <c r="AA56" i="2"/>
  <c r="G61" i="6" s="1"/>
  <c r="L56" i="2"/>
  <c r="F61" i="6" s="1"/>
  <c r="H61" i="6" l="1"/>
  <c r="N56" i="2"/>
  <c r="G57" i="2" s="1"/>
  <c r="W56" i="2" l="1"/>
  <c r="AB56" i="2" s="1"/>
  <c r="I57" i="2" l="1"/>
  <c r="D62" i="6" s="1"/>
  <c r="K57" i="2"/>
  <c r="Z57" i="2" s="1"/>
  <c r="AA57" i="2" l="1"/>
  <c r="G62" i="6" s="1"/>
  <c r="L57" i="2"/>
  <c r="F62" i="6" s="1"/>
  <c r="H62" i="6" l="1"/>
  <c r="N57" i="2"/>
  <c r="G58" i="2" s="1"/>
  <c r="W57" i="2" l="1"/>
  <c r="AB57" i="2" s="1"/>
  <c r="I58" i="2" l="1"/>
  <c r="D63" i="6" s="1"/>
  <c r="K58" i="2"/>
  <c r="Z58" i="2" s="1"/>
  <c r="AA58" i="2" l="1"/>
  <c r="G63" i="6" s="1"/>
  <c r="L58" i="2"/>
  <c r="F63" i="6" s="1"/>
  <c r="H63" i="6" l="1"/>
  <c r="N58" i="2"/>
  <c r="G59" i="2" s="1"/>
  <c r="W58" i="2" l="1"/>
  <c r="AB58" i="2" s="1"/>
  <c r="I59" i="2" l="1"/>
  <c r="D64" i="6" s="1"/>
  <c r="K59" i="2"/>
  <c r="Z59" i="2" s="1"/>
  <c r="AA59" i="2" l="1"/>
  <c r="G64" i="6" s="1"/>
  <c r="L59" i="2"/>
  <c r="F64" i="6" s="1"/>
  <c r="H64" i="6" l="1"/>
  <c r="N59" i="2"/>
  <c r="G60" i="2" s="1"/>
  <c r="W59" i="2" l="1"/>
  <c r="AB59" i="2" s="1"/>
  <c r="I60" i="2" l="1"/>
  <c r="D65" i="6" s="1"/>
  <c r="K60" i="2"/>
  <c r="Z60" i="2" s="1"/>
  <c r="AA60" i="2" l="1"/>
  <c r="G65" i="6" s="1"/>
  <c r="L60" i="2"/>
  <c r="F65" i="6" s="1"/>
  <c r="H65" i="6" l="1"/>
  <c r="N60" i="2"/>
  <c r="G61" i="2" s="1"/>
  <c r="W60" i="2" l="1"/>
  <c r="AB60" i="2" s="1"/>
  <c r="I61" i="2" l="1"/>
  <c r="D66" i="6" s="1"/>
  <c r="K61" i="2"/>
  <c r="Z61" i="2" s="1"/>
  <c r="AA61" i="2" l="1"/>
  <c r="G66" i="6" s="1"/>
  <c r="O61" i="2"/>
  <c r="E66" i="6" s="1"/>
  <c r="L61" i="2"/>
  <c r="F66" i="6" s="1"/>
  <c r="D12" i="3"/>
  <c r="H66" i="6" l="1"/>
  <c r="G12" i="3"/>
  <c r="N61" i="2"/>
  <c r="G62" i="2" s="1"/>
  <c r="K62" i="2" s="1"/>
  <c r="E12" i="3"/>
  <c r="F12" i="3"/>
  <c r="W61" i="2" l="1"/>
  <c r="AB61" i="2" l="1"/>
  <c r="I62" i="2"/>
  <c r="D67" i="6" s="1"/>
  <c r="Z62" i="2"/>
  <c r="H12" i="3" l="1"/>
  <c r="AA62" i="2"/>
  <c r="G67" i="6" s="1"/>
  <c r="L62" i="2"/>
  <c r="F67" i="6" s="1"/>
  <c r="H67" i="6" l="1"/>
  <c r="N62" i="2"/>
  <c r="G63" i="2" s="1"/>
  <c r="W62" i="2" l="1"/>
  <c r="AB62" i="2" s="1"/>
  <c r="K63" i="2" l="1"/>
  <c r="Z63" i="2" s="1"/>
  <c r="I63" i="2"/>
  <c r="D68" i="6" s="1"/>
  <c r="AA63" i="2" l="1"/>
  <c r="G68" i="6" s="1"/>
  <c r="L63" i="2"/>
  <c r="F68" i="6" s="1"/>
  <c r="H68" i="6" l="1"/>
  <c r="N63" i="2"/>
  <c r="G64" i="2" s="1"/>
  <c r="W63" i="2" l="1"/>
  <c r="AB63" i="2" s="1"/>
  <c r="K64" i="2" l="1"/>
  <c r="Z64" i="2" s="1"/>
  <c r="I64" i="2"/>
  <c r="D69" i="6" s="1"/>
  <c r="AA64" i="2" l="1"/>
  <c r="G69" i="6" s="1"/>
  <c r="L64" i="2"/>
  <c r="F69" i="6" s="1"/>
  <c r="H69" i="6" l="1"/>
  <c r="N64" i="2"/>
  <c r="G65" i="2" s="1"/>
  <c r="W64" i="2" l="1"/>
  <c r="AB64" i="2" s="1"/>
  <c r="I65" i="2" l="1"/>
  <c r="D70" i="6" s="1"/>
  <c r="K65" i="2"/>
  <c r="Z65" i="2" s="1"/>
  <c r="AA65" i="2" l="1"/>
  <c r="G70" i="6" s="1"/>
  <c r="L65" i="2"/>
  <c r="F70" i="6" s="1"/>
  <c r="H70" i="6" l="1"/>
  <c r="N65" i="2"/>
  <c r="G66" i="2" s="1"/>
  <c r="W65" i="2" l="1"/>
  <c r="AB65" i="2" s="1"/>
  <c r="K66" i="2" l="1"/>
  <c r="Z66" i="2" s="1"/>
  <c r="I66" i="2"/>
  <c r="D71" i="6" s="1"/>
  <c r="AA66" i="2" l="1"/>
  <c r="G71" i="6" s="1"/>
  <c r="L66" i="2"/>
  <c r="F71" i="6" s="1"/>
  <c r="H71" i="6" l="1"/>
  <c r="N66" i="2"/>
  <c r="G67" i="2" s="1"/>
  <c r="W66" i="2" l="1"/>
  <c r="AB66" i="2" s="1"/>
  <c r="I67" i="2" l="1"/>
  <c r="D72" i="6" s="1"/>
  <c r="K67" i="2"/>
  <c r="Z67" i="2" s="1"/>
  <c r="AA67" i="2" l="1"/>
  <c r="G72" i="6" s="1"/>
  <c r="L67" i="2"/>
  <c r="F72" i="6" s="1"/>
  <c r="D13" i="3"/>
  <c r="H72" i="6" l="1"/>
  <c r="G13" i="3"/>
  <c r="N67" i="2"/>
  <c r="G68" i="2" s="1"/>
  <c r="F13" i="3"/>
  <c r="W67" i="2" l="1"/>
  <c r="AB67" i="2" l="1"/>
  <c r="I68" i="2"/>
  <c r="D73" i="6" s="1"/>
  <c r="K68" i="2"/>
  <c r="Z68" i="2" s="1"/>
  <c r="H13" i="3" l="1"/>
  <c r="AA68" i="2"/>
  <c r="G73" i="6" s="1"/>
  <c r="L68" i="2"/>
  <c r="F73" i="6" s="1"/>
  <c r="H73" i="6" l="1"/>
  <c r="N68" i="2"/>
  <c r="G69" i="2" s="1"/>
  <c r="W68" i="2" l="1"/>
  <c r="AB68" i="2" s="1"/>
  <c r="K69" i="2" l="1"/>
  <c r="Z69" i="2" s="1"/>
  <c r="I69" i="2"/>
  <c r="D74" i="6" s="1"/>
  <c r="AA69" i="2" l="1"/>
  <c r="G74" i="6" s="1"/>
  <c r="L69" i="2"/>
  <c r="F74" i="6" s="1"/>
  <c r="H74" i="6" l="1"/>
  <c r="N69" i="2"/>
  <c r="G70" i="2" s="1"/>
  <c r="W69" i="2" l="1"/>
  <c r="AB69" i="2" s="1"/>
  <c r="K70" i="2" l="1"/>
  <c r="Z70" i="2" s="1"/>
  <c r="I70" i="2"/>
  <c r="D75" i="6" s="1"/>
  <c r="AA70" i="2" l="1"/>
  <c r="G75" i="6" s="1"/>
  <c r="L70" i="2"/>
  <c r="F75" i="6" s="1"/>
  <c r="H75" i="6" l="1"/>
  <c r="N70" i="2"/>
  <c r="G71" i="2" s="1"/>
  <c r="W70" i="2" l="1"/>
  <c r="AB70" i="2" s="1"/>
  <c r="I71" i="2" l="1"/>
  <c r="D76" i="6" s="1"/>
  <c r="K71" i="2"/>
  <c r="Z71" i="2" s="1"/>
  <c r="AA71" i="2" l="1"/>
  <c r="G76" i="6" s="1"/>
  <c r="L71" i="2"/>
  <c r="F76" i="6" s="1"/>
  <c r="H76" i="6" l="1"/>
  <c r="N71" i="2"/>
  <c r="G72" i="2" s="1"/>
  <c r="W71" i="2" l="1"/>
  <c r="AB71" i="2" s="1"/>
  <c r="K72" i="2" l="1"/>
  <c r="Z72" i="2" s="1"/>
  <c r="I72" i="2"/>
  <c r="D77" i="6" s="1"/>
  <c r="AA72" i="2" l="1"/>
  <c r="G77" i="6" s="1"/>
  <c r="L72" i="2"/>
  <c r="F77" i="6" s="1"/>
  <c r="H77" i="6" l="1"/>
  <c r="N72" i="2"/>
  <c r="G73" i="2" s="1"/>
  <c r="W72" i="2" l="1"/>
  <c r="AB72" i="2" s="1"/>
  <c r="I73" i="2" l="1"/>
  <c r="D78" i="6" s="1"/>
  <c r="K73" i="2"/>
  <c r="Z73" i="2" s="1"/>
  <c r="AA73" i="2" l="1"/>
  <c r="G78" i="6" s="1"/>
  <c r="O73" i="2"/>
  <c r="E78" i="6" s="1"/>
  <c r="L73" i="2"/>
  <c r="F78" i="6" s="1"/>
  <c r="D14" i="3"/>
  <c r="H78" i="6" l="1"/>
  <c r="G14" i="3"/>
  <c r="N73" i="2"/>
  <c r="E14" i="3"/>
  <c r="E41" i="3" s="1"/>
  <c r="O231" i="2"/>
  <c r="F14" i="3"/>
  <c r="J233" i="2" l="1"/>
  <c r="J234" i="2" s="1"/>
  <c r="C48" i="1"/>
  <c r="G74" i="2"/>
  <c r="K74" i="2" s="1"/>
  <c r="W73" i="2"/>
  <c r="AB73" i="2" l="1"/>
  <c r="Z74" i="2"/>
  <c r="I74" i="2"/>
  <c r="D79" i="6" s="1"/>
  <c r="AA74" i="2" l="1"/>
  <c r="G79" i="6" s="1"/>
  <c r="H14" i="3"/>
  <c r="L74" i="2"/>
  <c r="F79" i="6" s="1"/>
  <c r="H79" i="6" l="1"/>
  <c r="N74" i="2"/>
  <c r="G75" i="2" s="1"/>
  <c r="W74" i="2" l="1"/>
  <c r="AB74" i="2" s="1"/>
  <c r="K75" i="2" l="1"/>
  <c r="Z75" i="2" s="1"/>
  <c r="I75" i="2"/>
  <c r="D80" i="6" s="1"/>
  <c r="AA75" i="2" l="1"/>
  <c r="G80" i="6" s="1"/>
  <c r="L75" i="2"/>
  <c r="F80" i="6" s="1"/>
  <c r="H80" i="6" l="1"/>
  <c r="N75" i="2"/>
  <c r="G76" i="2" s="1"/>
  <c r="W75" i="2" l="1"/>
  <c r="AB75" i="2" s="1"/>
  <c r="K76" i="2" l="1"/>
  <c r="Z76" i="2" s="1"/>
  <c r="I76" i="2"/>
  <c r="D81" i="6" s="1"/>
  <c r="AA76" i="2" l="1"/>
  <c r="G81" i="6" s="1"/>
  <c r="L76" i="2"/>
  <c r="F81" i="6" s="1"/>
  <c r="H81" i="6" l="1"/>
  <c r="N76" i="2"/>
  <c r="G77" i="2" s="1"/>
  <c r="W76" i="2" l="1"/>
  <c r="AB76" i="2" s="1"/>
  <c r="K77" i="2" l="1"/>
  <c r="Z77" i="2" s="1"/>
  <c r="I77" i="2"/>
  <c r="D82" i="6" s="1"/>
  <c r="AA77" i="2" l="1"/>
  <c r="G82" i="6" s="1"/>
  <c r="L77" i="2"/>
  <c r="F82" i="6" s="1"/>
  <c r="H82" i="6" l="1"/>
  <c r="N77" i="2"/>
  <c r="G78" i="2" s="1"/>
  <c r="W77" i="2" l="1"/>
  <c r="AB77" i="2" s="1"/>
  <c r="K78" i="2" l="1"/>
  <c r="Z78" i="2" s="1"/>
  <c r="I78" i="2"/>
  <c r="D83" i="6" s="1"/>
  <c r="AA78" i="2" l="1"/>
  <c r="G83" i="6" s="1"/>
  <c r="L78" i="2"/>
  <c r="F83" i="6" s="1"/>
  <c r="H83" i="6" l="1"/>
  <c r="N78" i="2"/>
  <c r="G79" i="2" s="1"/>
  <c r="W78" i="2" l="1"/>
  <c r="AB78" i="2" s="1"/>
  <c r="K79" i="2" l="1"/>
  <c r="Z79" i="2" s="1"/>
  <c r="I79" i="2"/>
  <c r="D84" i="6" s="1"/>
  <c r="AA79" i="2" l="1"/>
  <c r="G84" i="6" s="1"/>
  <c r="L79" i="2"/>
  <c r="F84" i="6" s="1"/>
  <c r="D15" i="3"/>
  <c r="H84" i="6" l="1"/>
  <c r="G15" i="3"/>
  <c r="N79" i="2"/>
  <c r="G80" i="2" s="1"/>
  <c r="F15" i="3"/>
  <c r="W79" i="2" l="1"/>
  <c r="AB79" i="2" l="1"/>
  <c r="K80" i="2"/>
  <c r="Z80" i="2" s="1"/>
  <c r="I80" i="2"/>
  <c r="D85" i="6" s="1"/>
  <c r="AA80" i="2" l="1"/>
  <c r="G85" i="6" s="1"/>
  <c r="H15" i="3"/>
  <c r="L80" i="2"/>
  <c r="F85" i="6" l="1"/>
  <c r="H85" i="6" s="1"/>
  <c r="N80" i="2"/>
  <c r="G81" i="2" s="1"/>
  <c r="W80" i="2" l="1"/>
  <c r="AB80" i="2" s="1"/>
  <c r="K81" i="2" l="1"/>
  <c r="Z81" i="2" s="1"/>
  <c r="I81" i="2"/>
  <c r="D86" i="6" s="1"/>
  <c r="AA81" i="2" l="1"/>
  <c r="G86" i="6" s="1"/>
  <c r="L81" i="2"/>
  <c r="F86" i="6" s="1"/>
  <c r="H86" i="6" l="1"/>
  <c r="N81" i="2"/>
  <c r="G82" i="2" s="1"/>
  <c r="W81" i="2" l="1"/>
  <c r="AB81" i="2" s="1"/>
  <c r="K82" i="2" l="1"/>
  <c r="Z82" i="2" s="1"/>
  <c r="I82" i="2"/>
  <c r="D87" i="6" s="1"/>
  <c r="AA82" i="2" l="1"/>
  <c r="G87" i="6" s="1"/>
  <c r="L82" i="2"/>
  <c r="F87" i="6" l="1"/>
  <c r="H87" i="6" s="1"/>
  <c r="N82" i="2"/>
  <c r="G83" i="2" s="1"/>
  <c r="W82" i="2" l="1"/>
  <c r="AB82" i="2" s="1"/>
  <c r="I83" i="2" l="1"/>
  <c r="D88" i="6" s="1"/>
  <c r="K83" i="2"/>
  <c r="Z83" i="2" s="1"/>
  <c r="AA83" i="2" l="1"/>
  <c r="G88" i="6" s="1"/>
  <c r="L83" i="2"/>
  <c r="F88" i="6" s="1"/>
  <c r="H88" i="6" l="1"/>
  <c r="N83" i="2"/>
  <c r="G84" i="2" s="1"/>
  <c r="W83" i="2" l="1"/>
  <c r="AB83" i="2" s="1"/>
  <c r="K84" i="2" l="1"/>
  <c r="Z84" i="2" s="1"/>
  <c r="I84" i="2"/>
  <c r="D89" i="6" s="1"/>
  <c r="AA84" i="2" l="1"/>
  <c r="G89" i="6" s="1"/>
  <c r="L84" i="2"/>
  <c r="F89" i="6" s="1"/>
  <c r="H89" i="6" l="1"/>
  <c r="N84" i="2"/>
  <c r="G85" i="2" s="1"/>
  <c r="W84" i="2" l="1"/>
  <c r="AB84" i="2" s="1"/>
  <c r="I85" i="2" l="1"/>
  <c r="D90" i="6" s="1"/>
  <c r="K85" i="2"/>
  <c r="Z85" i="2" s="1"/>
  <c r="AA85" i="2" l="1"/>
  <c r="G90" i="6" s="1"/>
  <c r="L85" i="2"/>
  <c r="F90" i="6" s="1"/>
  <c r="D16" i="3"/>
  <c r="G16" i="3" l="1"/>
  <c r="H90" i="6"/>
  <c r="N85" i="2"/>
  <c r="G86" i="2" s="1"/>
  <c r="F16" i="3"/>
  <c r="W85" i="2" l="1"/>
  <c r="AB85" i="2" l="1"/>
  <c r="I86" i="2"/>
  <c r="D91" i="6" s="1"/>
  <c r="K86" i="2"/>
  <c r="Z86" i="2" s="1"/>
  <c r="AA86" i="2" l="1"/>
  <c r="G91" i="6" s="1"/>
  <c r="H16" i="3"/>
  <c r="L86" i="2"/>
  <c r="F91" i="6" s="1"/>
  <c r="H91" i="6" l="1"/>
  <c r="N86" i="2"/>
  <c r="G87" i="2" s="1"/>
  <c r="W86" i="2" l="1"/>
  <c r="AB86" i="2" s="1"/>
  <c r="I87" i="2"/>
  <c r="D92" i="6" s="1"/>
  <c r="K87" i="2"/>
  <c r="Z87" i="2" s="1"/>
  <c r="AA87" i="2" l="1"/>
  <c r="G92" i="6" s="1"/>
  <c r="L87" i="2"/>
  <c r="F92" i="6" s="1"/>
  <c r="H92" i="6" l="1"/>
  <c r="N87" i="2"/>
  <c r="G88" i="2" s="1"/>
  <c r="W87" i="2" l="1"/>
  <c r="AB87" i="2" s="1"/>
  <c r="I88" i="2" l="1"/>
  <c r="D93" i="6" s="1"/>
  <c r="K88" i="2"/>
  <c r="Z88" i="2" s="1"/>
  <c r="AA88" i="2" l="1"/>
  <c r="G93" i="6" s="1"/>
  <c r="L88" i="2"/>
  <c r="F93" i="6" s="1"/>
  <c r="H93" i="6" l="1"/>
  <c r="N88" i="2"/>
  <c r="G89" i="2" s="1"/>
  <c r="W88" i="2" l="1"/>
  <c r="AB88" i="2" s="1"/>
  <c r="I89" i="2" l="1"/>
  <c r="D94" i="6" s="1"/>
  <c r="K89" i="2"/>
  <c r="Z89" i="2" s="1"/>
  <c r="AA89" i="2" l="1"/>
  <c r="G94" i="6" s="1"/>
  <c r="L89" i="2"/>
  <c r="F94" i="6" s="1"/>
  <c r="H94" i="6" l="1"/>
  <c r="N89" i="2"/>
  <c r="G90" i="2" s="1"/>
  <c r="W89" i="2" l="1"/>
  <c r="AB89" i="2" s="1"/>
  <c r="I90" i="2" l="1"/>
  <c r="D95" i="6" s="1"/>
  <c r="K90" i="2"/>
  <c r="Z90" i="2" s="1"/>
  <c r="AA90" i="2" l="1"/>
  <c r="G95" i="6" s="1"/>
  <c r="L90" i="2"/>
  <c r="F95" i="6" s="1"/>
  <c r="H95" i="6" l="1"/>
  <c r="N90" i="2"/>
  <c r="G91" i="2" s="1"/>
  <c r="W90" i="2" l="1"/>
  <c r="AB90" i="2" s="1"/>
  <c r="I91" i="2" l="1"/>
  <c r="D96" i="6" s="1"/>
  <c r="K91" i="2"/>
  <c r="Z91" i="2" s="1"/>
  <c r="AA91" i="2" l="1"/>
  <c r="G96" i="6" s="1"/>
  <c r="L91" i="2"/>
  <c r="F96" i="6" s="1"/>
  <c r="D17" i="3"/>
  <c r="H96" i="6" l="1"/>
  <c r="G17" i="3"/>
  <c r="N91" i="2"/>
  <c r="G92" i="2" s="1"/>
  <c r="F17" i="3"/>
  <c r="W91" i="2" l="1"/>
  <c r="AB91" i="2" l="1"/>
  <c r="I92" i="2"/>
  <c r="D97" i="6" s="1"/>
  <c r="K92" i="2"/>
  <c r="Z92" i="2" s="1"/>
  <c r="H17" i="3" l="1"/>
  <c r="AA92" i="2"/>
  <c r="G97" i="6" s="1"/>
  <c r="L92" i="2"/>
  <c r="F97" i="6" s="1"/>
  <c r="H97" i="6" l="1"/>
  <c r="N92" i="2"/>
  <c r="G93" i="2" s="1"/>
  <c r="W92" i="2" l="1"/>
  <c r="AB92" i="2" s="1"/>
  <c r="I93" i="2" l="1"/>
  <c r="D98" i="6" s="1"/>
  <c r="K93" i="2"/>
  <c r="Z93" i="2" s="1"/>
  <c r="AA93" i="2" l="1"/>
  <c r="G98" i="6" s="1"/>
  <c r="L93" i="2"/>
  <c r="F98" i="6" s="1"/>
  <c r="H98" i="6" l="1"/>
  <c r="N93" i="2"/>
  <c r="G94" i="2" s="1"/>
  <c r="W93" i="2" l="1"/>
  <c r="AB93" i="2" s="1"/>
  <c r="I94" i="2" l="1"/>
  <c r="D99" i="6" s="1"/>
  <c r="K94" i="2"/>
  <c r="Z94" i="2" s="1"/>
  <c r="AA94" i="2" l="1"/>
  <c r="G99" i="6" s="1"/>
  <c r="L94" i="2"/>
  <c r="F99" i="6" s="1"/>
  <c r="H99" i="6" l="1"/>
  <c r="N94" i="2"/>
  <c r="G95" i="2" s="1"/>
  <c r="W94" i="2" l="1"/>
  <c r="AB94" i="2" s="1"/>
  <c r="I95" i="2" l="1"/>
  <c r="D100" i="6" s="1"/>
  <c r="K95" i="2"/>
  <c r="Z95" i="2" s="1"/>
  <c r="AA95" i="2" l="1"/>
  <c r="G100" i="6" s="1"/>
  <c r="L95" i="2"/>
  <c r="F100" i="6" s="1"/>
  <c r="H100" i="6" l="1"/>
  <c r="N95" i="2"/>
  <c r="G96" i="2" s="1"/>
  <c r="W95" i="2" l="1"/>
  <c r="AB95" i="2" s="1"/>
  <c r="I96" i="2" l="1"/>
  <c r="D101" i="6" s="1"/>
  <c r="K96" i="2"/>
  <c r="Z96" i="2" s="1"/>
  <c r="AA96" i="2" l="1"/>
  <c r="G101" i="6" s="1"/>
  <c r="L96" i="2"/>
  <c r="F101" i="6" s="1"/>
  <c r="H101" i="6" l="1"/>
  <c r="N96" i="2"/>
  <c r="G97" i="2" s="1"/>
  <c r="W96" i="2" l="1"/>
  <c r="AB96" i="2" s="1"/>
  <c r="I97" i="2" l="1"/>
  <c r="D102" i="6" s="1"/>
  <c r="K97" i="2"/>
  <c r="Z97" i="2" s="1"/>
  <c r="AA97" i="2" l="1"/>
  <c r="G102" i="6" s="1"/>
  <c r="L97" i="2"/>
  <c r="F102" i="6" s="1"/>
  <c r="D18" i="3"/>
  <c r="H102" i="6" l="1"/>
  <c r="G18" i="3"/>
  <c r="N97" i="2"/>
  <c r="G98" i="2" s="1"/>
  <c r="F18" i="3"/>
  <c r="W97" i="2" l="1"/>
  <c r="AB97" i="2" l="1"/>
  <c r="I98" i="2"/>
  <c r="D103" i="6" s="1"/>
  <c r="K98" i="2"/>
  <c r="Z98" i="2" s="1"/>
  <c r="H18" i="3" l="1"/>
  <c r="AA98" i="2"/>
  <c r="G103" i="6" s="1"/>
  <c r="L98" i="2"/>
  <c r="F103" i="6" s="1"/>
  <c r="H103" i="6" l="1"/>
  <c r="N98" i="2"/>
  <c r="G99" i="2" s="1"/>
  <c r="W98" i="2" l="1"/>
  <c r="AB98" i="2" s="1"/>
  <c r="I99" i="2" l="1"/>
  <c r="D104" i="6" s="1"/>
  <c r="K99" i="2"/>
  <c r="Z99" i="2" s="1"/>
  <c r="AA99" i="2" l="1"/>
  <c r="G104" i="6" s="1"/>
  <c r="L99" i="2"/>
  <c r="F104" i="6" s="1"/>
  <c r="H104" i="6" l="1"/>
  <c r="N99" i="2"/>
  <c r="G100" i="2" s="1"/>
  <c r="W99" i="2" l="1"/>
  <c r="AB99" i="2" s="1"/>
  <c r="I100" i="2" l="1"/>
  <c r="D105" i="6" s="1"/>
  <c r="K100" i="2"/>
  <c r="Z100" i="2" s="1"/>
  <c r="AA100" i="2" l="1"/>
  <c r="G105" i="6" s="1"/>
  <c r="L100" i="2"/>
  <c r="F105" i="6" s="1"/>
  <c r="H105" i="6" l="1"/>
  <c r="N100" i="2"/>
  <c r="G101" i="2" s="1"/>
  <c r="W100" i="2" l="1"/>
  <c r="AB100" i="2" s="1"/>
  <c r="I101" i="2" l="1"/>
  <c r="D106" i="6" s="1"/>
  <c r="K101" i="2"/>
  <c r="Z101" i="2" s="1"/>
  <c r="AA101" i="2" l="1"/>
  <c r="G106" i="6" s="1"/>
  <c r="L101" i="2"/>
  <c r="F106" i="6" s="1"/>
  <c r="H106" i="6" l="1"/>
  <c r="N101" i="2"/>
  <c r="G102" i="2" s="1"/>
  <c r="W101" i="2" l="1"/>
  <c r="AB101" i="2" s="1"/>
  <c r="I102" i="2" l="1"/>
  <c r="D107" i="6" s="1"/>
  <c r="K102" i="2"/>
  <c r="Z102" i="2" s="1"/>
  <c r="AA102" i="2" l="1"/>
  <c r="G107" i="6" s="1"/>
  <c r="L102" i="2"/>
  <c r="F107" i="6" s="1"/>
  <c r="H107" i="6" l="1"/>
  <c r="N102" i="2"/>
  <c r="G103" i="2" s="1"/>
  <c r="W102" i="2" l="1"/>
  <c r="AB102" i="2" s="1"/>
  <c r="I103" i="2" l="1"/>
  <c r="D108" i="6" s="1"/>
  <c r="K103" i="2"/>
  <c r="Z103" i="2" s="1"/>
  <c r="AA103" i="2" l="1"/>
  <c r="G108" i="6" s="1"/>
  <c r="L103" i="2"/>
  <c r="F108" i="6" s="1"/>
  <c r="D19" i="3"/>
  <c r="H108" i="6" l="1"/>
  <c r="G19" i="3"/>
  <c r="N103" i="2"/>
  <c r="G104" i="2" s="1"/>
  <c r="F19" i="3"/>
  <c r="W103" i="2" l="1"/>
  <c r="AB103" i="2" l="1"/>
  <c r="K104" i="2"/>
  <c r="Z104" i="2" s="1"/>
  <c r="I104" i="2"/>
  <c r="D109" i="6" s="1"/>
  <c r="AA104" i="2" l="1"/>
  <c r="G109" i="6" s="1"/>
  <c r="H19" i="3"/>
  <c r="L104" i="2"/>
  <c r="F109" i="6" s="1"/>
  <c r="H109" i="6" l="1"/>
  <c r="N104" i="2"/>
  <c r="G105" i="2" s="1"/>
  <c r="W104" i="2" l="1"/>
  <c r="AB104" i="2" s="1"/>
  <c r="I105" i="2" l="1"/>
  <c r="D110" i="6" s="1"/>
  <c r="K105" i="2"/>
  <c r="Z105" i="2" s="1"/>
  <c r="AA105" i="2" l="1"/>
  <c r="G110" i="6" s="1"/>
  <c r="L105" i="2"/>
  <c r="F110" i="6" s="1"/>
  <c r="H110" i="6" l="1"/>
  <c r="N105" i="2"/>
  <c r="G106" i="2" s="1"/>
  <c r="W105" i="2" l="1"/>
  <c r="AB105" i="2" s="1"/>
  <c r="I106" i="2" l="1"/>
  <c r="D111" i="6" s="1"/>
  <c r="K106" i="2"/>
  <c r="Z106" i="2" s="1"/>
  <c r="AA106" i="2" l="1"/>
  <c r="G111" i="6" s="1"/>
  <c r="L106" i="2"/>
  <c r="F111" i="6" s="1"/>
  <c r="H111" i="6" l="1"/>
  <c r="N106" i="2"/>
  <c r="G107" i="2" s="1"/>
  <c r="W106" i="2" l="1"/>
  <c r="AB106" i="2" s="1"/>
  <c r="I107" i="2" l="1"/>
  <c r="D112" i="6" s="1"/>
  <c r="K107" i="2"/>
  <c r="Z107" i="2" s="1"/>
  <c r="AA107" i="2" l="1"/>
  <c r="G112" i="6" s="1"/>
  <c r="L107" i="2"/>
  <c r="F112" i="6" s="1"/>
  <c r="H112" i="6" l="1"/>
  <c r="N107" i="2"/>
  <c r="G108" i="2" s="1"/>
  <c r="W107" i="2" l="1"/>
  <c r="AB107" i="2" s="1"/>
  <c r="I108" i="2" l="1"/>
  <c r="D113" i="6" s="1"/>
  <c r="K108" i="2"/>
  <c r="Z108" i="2" s="1"/>
  <c r="AA108" i="2" l="1"/>
  <c r="G113" i="6" s="1"/>
  <c r="L108" i="2"/>
  <c r="F113" i="6" s="1"/>
  <c r="H113" i="6" l="1"/>
  <c r="N108" i="2"/>
  <c r="G109" i="2" s="1"/>
  <c r="W108" i="2" l="1"/>
  <c r="AB108" i="2" s="1"/>
  <c r="I109" i="2" l="1"/>
  <c r="D114" i="6" s="1"/>
  <c r="K109" i="2"/>
  <c r="Z109" i="2" s="1"/>
  <c r="AA109" i="2" l="1"/>
  <c r="G114" i="6" s="1"/>
  <c r="L109" i="2"/>
  <c r="F114" i="6" s="1"/>
  <c r="D20" i="3"/>
  <c r="H114" i="6" l="1"/>
  <c r="G20" i="3"/>
  <c r="N109" i="2"/>
  <c r="G110" i="2" s="1"/>
  <c r="F20" i="3"/>
  <c r="W109" i="2" l="1"/>
  <c r="AB109" i="2" l="1"/>
  <c r="I110" i="2"/>
  <c r="D115" i="6" s="1"/>
  <c r="K110" i="2"/>
  <c r="Z110" i="2" s="1"/>
  <c r="H20" i="3" l="1"/>
  <c r="AA110" i="2"/>
  <c r="G115" i="6" s="1"/>
  <c r="L110" i="2"/>
  <c r="F115" i="6" s="1"/>
  <c r="H115" i="6" l="1"/>
  <c r="N110" i="2"/>
  <c r="G111" i="2" s="1"/>
  <c r="W110" i="2" l="1"/>
  <c r="AB110" i="2" s="1"/>
  <c r="I111" i="2" l="1"/>
  <c r="D116" i="6" s="1"/>
  <c r="K111" i="2"/>
  <c r="Z111" i="2" s="1"/>
  <c r="AA111" i="2" l="1"/>
  <c r="G116" i="6" s="1"/>
  <c r="L111" i="2"/>
  <c r="F116" i="6" s="1"/>
  <c r="H116" i="6" l="1"/>
  <c r="N111" i="2"/>
  <c r="G112" i="2" s="1"/>
  <c r="W111" i="2" l="1"/>
  <c r="AB111" i="2" s="1"/>
  <c r="I112" i="2" l="1"/>
  <c r="D117" i="6" s="1"/>
  <c r="K112" i="2"/>
  <c r="Z112" i="2" s="1"/>
  <c r="AA112" i="2" l="1"/>
  <c r="G117" i="6" s="1"/>
  <c r="L112" i="2"/>
  <c r="F117" i="6" s="1"/>
  <c r="H117" i="6" l="1"/>
  <c r="N112" i="2"/>
  <c r="G113" i="2" s="1"/>
  <c r="W112" i="2" l="1"/>
  <c r="AB112" i="2" s="1"/>
  <c r="I113" i="2" l="1"/>
  <c r="D118" i="6" s="1"/>
  <c r="K113" i="2"/>
  <c r="Z113" i="2" s="1"/>
  <c r="AA113" i="2" l="1"/>
  <c r="G118" i="6" s="1"/>
  <c r="L113" i="2"/>
  <c r="F118" i="6" s="1"/>
  <c r="H118" i="6" l="1"/>
  <c r="N113" i="2"/>
  <c r="G114" i="2" s="1"/>
  <c r="W113" i="2" l="1"/>
  <c r="AB113" i="2" s="1"/>
  <c r="I114" i="2" l="1"/>
  <c r="D119" i="6" s="1"/>
  <c r="K114" i="2"/>
  <c r="Z114" i="2" s="1"/>
  <c r="AA114" i="2" l="1"/>
  <c r="G119" i="6" s="1"/>
  <c r="L114" i="2"/>
  <c r="F119" i="6" s="1"/>
  <c r="H119" i="6" l="1"/>
  <c r="N114" i="2"/>
  <c r="G115" i="2" s="1"/>
  <c r="W114" i="2" l="1"/>
  <c r="AB114" i="2" s="1"/>
  <c r="I115" i="2" l="1"/>
  <c r="D120" i="6" s="1"/>
  <c r="K115" i="2"/>
  <c r="Z115" i="2" s="1"/>
  <c r="AA115" i="2" l="1"/>
  <c r="G120" i="6" s="1"/>
  <c r="L115" i="2"/>
  <c r="F120" i="6" s="1"/>
  <c r="D21" i="3"/>
  <c r="H120" i="6" l="1"/>
  <c r="G21" i="3"/>
  <c r="N115" i="2"/>
  <c r="G116" i="2" s="1"/>
  <c r="F21" i="3"/>
  <c r="W115" i="2" l="1"/>
  <c r="AB115" i="2" l="1"/>
  <c r="I116" i="2"/>
  <c r="D121" i="6" s="1"/>
  <c r="K116" i="2"/>
  <c r="Z116" i="2" s="1"/>
  <c r="H21" i="3" l="1"/>
  <c r="AA116" i="2"/>
  <c r="G121" i="6" s="1"/>
  <c r="L116" i="2"/>
  <c r="F121" i="6" s="1"/>
  <c r="H121" i="6" l="1"/>
  <c r="N116" i="2"/>
  <c r="G117" i="2" s="1"/>
  <c r="W116" i="2" l="1"/>
  <c r="AB116" i="2" s="1"/>
  <c r="I117" i="2" l="1"/>
  <c r="D122" i="6" s="1"/>
  <c r="K117" i="2"/>
  <c r="Z117" i="2" s="1"/>
  <c r="AA117" i="2" l="1"/>
  <c r="G122" i="6" s="1"/>
  <c r="L117" i="2"/>
  <c r="F122" i="6" s="1"/>
  <c r="H122" i="6" l="1"/>
  <c r="N117" i="2"/>
  <c r="G118" i="2" s="1"/>
  <c r="W117" i="2" l="1"/>
  <c r="AB117" i="2" s="1"/>
  <c r="I118" i="2" l="1"/>
  <c r="D123" i="6" s="1"/>
  <c r="K118" i="2"/>
  <c r="Z118" i="2" s="1"/>
  <c r="AA118" i="2" l="1"/>
  <c r="G123" i="6" s="1"/>
  <c r="L118" i="2"/>
  <c r="F123" i="6" s="1"/>
  <c r="H123" i="6" l="1"/>
  <c r="N118" i="2"/>
  <c r="G119" i="2" s="1"/>
  <c r="W118" i="2" l="1"/>
  <c r="AB118" i="2" s="1"/>
  <c r="I119" i="2" l="1"/>
  <c r="D124" i="6" s="1"/>
  <c r="K119" i="2"/>
  <c r="Z119" i="2" s="1"/>
  <c r="AA119" i="2" l="1"/>
  <c r="G124" i="6" s="1"/>
  <c r="L119" i="2"/>
  <c r="F124" i="6" s="1"/>
  <c r="H124" i="6" l="1"/>
  <c r="N119" i="2"/>
  <c r="G120" i="2" s="1"/>
  <c r="W119" i="2" l="1"/>
  <c r="AB119" i="2" s="1"/>
  <c r="I120" i="2" l="1"/>
  <c r="D125" i="6" s="1"/>
  <c r="K120" i="2"/>
  <c r="Z120" i="2" s="1"/>
  <c r="AA120" i="2" l="1"/>
  <c r="G125" i="6" s="1"/>
  <c r="L120" i="2"/>
  <c r="F125" i="6" s="1"/>
  <c r="H125" i="6" l="1"/>
  <c r="N120" i="2"/>
  <c r="G121" i="2" s="1"/>
  <c r="W120" i="2" l="1"/>
  <c r="AB120" i="2" s="1"/>
  <c r="I121" i="2" l="1"/>
  <c r="D126" i="6" s="1"/>
  <c r="K121" i="2"/>
  <c r="Z121" i="2" s="1"/>
  <c r="AA121" i="2" l="1"/>
  <c r="G126" i="6" s="1"/>
  <c r="L121" i="2"/>
  <c r="F126" i="6" s="1"/>
  <c r="D22" i="3"/>
  <c r="H126" i="6" l="1"/>
  <c r="G22" i="3"/>
  <c r="N121" i="2"/>
  <c r="G122" i="2" s="1"/>
  <c r="F22" i="3"/>
  <c r="W121" i="2" l="1"/>
  <c r="AB121" i="2" l="1"/>
  <c r="I122" i="2"/>
  <c r="D127" i="6" s="1"/>
  <c r="K122" i="2"/>
  <c r="Z122" i="2" s="1"/>
  <c r="H22" i="3" l="1"/>
  <c r="AA122" i="2"/>
  <c r="G127" i="6" s="1"/>
  <c r="L122" i="2"/>
  <c r="F127" i="6" s="1"/>
  <c r="H127" i="6" l="1"/>
  <c r="N122" i="2"/>
  <c r="G123" i="2" s="1"/>
  <c r="W122" i="2" l="1"/>
  <c r="AB122" i="2" s="1"/>
  <c r="K123" i="2" l="1"/>
  <c r="Z123" i="2" s="1"/>
  <c r="I123" i="2"/>
  <c r="D128" i="6" s="1"/>
  <c r="AA123" i="2" l="1"/>
  <c r="G128" i="6" s="1"/>
  <c r="L123" i="2"/>
  <c r="F128" i="6" s="1"/>
  <c r="H128" i="6" l="1"/>
  <c r="N123" i="2"/>
  <c r="G124" i="2" s="1"/>
  <c r="W123" i="2" l="1"/>
  <c r="AB123" i="2" s="1"/>
  <c r="K124" i="2" l="1"/>
  <c r="Z124" i="2" s="1"/>
  <c r="I124" i="2"/>
  <c r="D129" i="6" s="1"/>
  <c r="AA124" i="2" l="1"/>
  <c r="G129" i="6" s="1"/>
  <c r="L124" i="2"/>
  <c r="F129" i="6" s="1"/>
  <c r="H129" i="6" l="1"/>
  <c r="N124" i="2"/>
  <c r="G125" i="2" s="1"/>
  <c r="W124" i="2" l="1"/>
  <c r="AB124" i="2" s="1"/>
  <c r="I125" i="2" l="1"/>
  <c r="D130" i="6" s="1"/>
  <c r="K125" i="2"/>
  <c r="Z125" i="2" s="1"/>
  <c r="AA125" i="2" l="1"/>
  <c r="G130" i="6" s="1"/>
  <c r="L125" i="2"/>
  <c r="F130" i="6" s="1"/>
  <c r="H130" i="6" l="1"/>
  <c r="N125" i="2"/>
  <c r="G126" i="2" s="1"/>
  <c r="W125" i="2" l="1"/>
  <c r="AB125" i="2" s="1"/>
  <c r="I126" i="2" l="1"/>
  <c r="D131" i="6" s="1"/>
  <c r="K126" i="2"/>
  <c r="Z126" i="2" s="1"/>
  <c r="AA126" i="2" l="1"/>
  <c r="G131" i="6" s="1"/>
  <c r="L126" i="2"/>
  <c r="F131" i="6" s="1"/>
  <c r="H131" i="6" l="1"/>
  <c r="N126" i="2"/>
  <c r="G127" i="2" s="1"/>
  <c r="W126" i="2" l="1"/>
  <c r="AB126" i="2" s="1"/>
  <c r="I127" i="2" l="1"/>
  <c r="D132" i="6" s="1"/>
  <c r="K127" i="2"/>
  <c r="Z127" i="2" s="1"/>
  <c r="AA127" i="2" l="1"/>
  <c r="G132" i="6" s="1"/>
  <c r="L127" i="2"/>
  <c r="F132" i="6" s="1"/>
  <c r="D23" i="3"/>
  <c r="H132" i="6" l="1"/>
  <c r="G23" i="3"/>
  <c r="N127" i="2"/>
  <c r="G128" i="2" s="1"/>
  <c r="F23" i="3"/>
  <c r="W127" i="2" l="1"/>
  <c r="AB127" i="2" l="1"/>
  <c r="I128" i="2"/>
  <c r="D133" i="6" s="1"/>
  <c r="K128" i="2"/>
  <c r="Z128" i="2" s="1"/>
  <c r="H23" i="3" l="1"/>
  <c r="AA128" i="2"/>
  <c r="G133" i="6" s="1"/>
  <c r="L128" i="2"/>
  <c r="F133" i="6" s="1"/>
  <c r="H133" i="6" l="1"/>
  <c r="N128" i="2"/>
  <c r="G129" i="2" s="1"/>
  <c r="W128" i="2" l="1"/>
  <c r="AB128" i="2" s="1"/>
  <c r="K129" i="2" l="1"/>
  <c r="Z129" i="2" s="1"/>
  <c r="I129" i="2"/>
  <c r="D134" i="6" s="1"/>
  <c r="AA129" i="2" l="1"/>
  <c r="G134" i="6" s="1"/>
  <c r="L129" i="2"/>
  <c r="F134" i="6" s="1"/>
  <c r="H134" i="6" l="1"/>
  <c r="N129" i="2"/>
  <c r="G130" i="2" s="1"/>
  <c r="W129" i="2" l="1"/>
  <c r="AB129" i="2" s="1"/>
  <c r="I130" i="2" l="1"/>
  <c r="D135" i="6" s="1"/>
  <c r="K130" i="2"/>
  <c r="Z130" i="2" s="1"/>
  <c r="AA130" i="2" l="1"/>
  <c r="G135" i="6" s="1"/>
  <c r="L130" i="2"/>
  <c r="F135" i="6" s="1"/>
  <c r="H135" i="6" l="1"/>
  <c r="N130" i="2"/>
  <c r="G131" i="2" s="1"/>
  <c r="W130" i="2" l="1"/>
  <c r="AB130" i="2" s="1"/>
  <c r="I131" i="2" l="1"/>
  <c r="D136" i="6" s="1"/>
  <c r="K131" i="2"/>
  <c r="Z131" i="2" s="1"/>
  <c r="AA131" i="2" l="1"/>
  <c r="G136" i="6" s="1"/>
  <c r="L131" i="2"/>
  <c r="F136" i="6" s="1"/>
  <c r="H136" i="6" l="1"/>
  <c r="N131" i="2"/>
  <c r="G132" i="2" s="1"/>
  <c r="W131" i="2" l="1"/>
  <c r="AB131" i="2" s="1"/>
  <c r="I132" i="2" l="1"/>
  <c r="D137" i="6" s="1"/>
  <c r="K132" i="2"/>
  <c r="Z132" i="2" s="1"/>
  <c r="AA132" i="2" l="1"/>
  <c r="G137" i="6" s="1"/>
  <c r="L132" i="2"/>
  <c r="F137" i="6" s="1"/>
  <c r="H137" i="6" l="1"/>
  <c r="N132" i="2"/>
  <c r="G133" i="2" s="1"/>
  <c r="W132" i="2" l="1"/>
  <c r="AB132" i="2" s="1"/>
  <c r="I133" i="2" l="1"/>
  <c r="D138" i="6" s="1"/>
  <c r="K133" i="2"/>
  <c r="Z133" i="2" s="1"/>
  <c r="AA133" i="2" l="1"/>
  <c r="G138" i="6" s="1"/>
  <c r="L133" i="2"/>
  <c r="F138" i="6" s="1"/>
  <c r="D24" i="3"/>
  <c r="H138" i="6" l="1"/>
  <c r="G24" i="3"/>
  <c r="N133" i="2"/>
  <c r="G134" i="2" s="1"/>
  <c r="F24" i="3"/>
  <c r="W133" i="2" l="1"/>
  <c r="AB133" i="2" l="1"/>
  <c r="I134" i="2"/>
  <c r="D139" i="6" s="1"/>
  <c r="K134" i="2"/>
  <c r="Z134" i="2" s="1"/>
  <c r="H24" i="3" l="1"/>
  <c r="AA134" i="2"/>
  <c r="G139" i="6" s="1"/>
  <c r="L134" i="2"/>
  <c r="F139" i="6" s="1"/>
  <c r="H139" i="6" l="1"/>
  <c r="N134" i="2"/>
  <c r="G135" i="2" s="1"/>
  <c r="W134" i="2" l="1"/>
  <c r="AB134" i="2" s="1"/>
  <c r="I135" i="2" l="1"/>
  <c r="D140" i="6" s="1"/>
  <c r="K135" i="2"/>
  <c r="Z135" i="2" s="1"/>
  <c r="AA135" i="2" l="1"/>
  <c r="G140" i="6" s="1"/>
  <c r="L135" i="2"/>
  <c r="F140" i="6" s="1"/>
  <c r="H140" i="6" l="1"/>
  <c r="N135" i="2"/>
  <c r="G136" i="2" s="1"/>
  <c r="W135" i="2" l="1"/>
  <c r="AB135" i="2" s="1"/>
  <c r="K136" i="2" l="1"/>
  <c r="Z136" i="2" s="1"/>
  <c r="I136" i="2"/>
  <c r="D141" i="6" s="1"/>
  <c r="AA136" i="2" l="1"/>
  <c r="G141" i="6" s="1"/>
  <c r="L136" i="2"/>
  <c r="F141" i="6" s="1"/>
  <c r="H141" i="6" l="1"/>
  <c r="N136" i="2"/>
  <c r="G137" i="2" s="1"/>
  <c r="W136" i="2" l="1"/>
  <c r="AB136" i="2" s="1"/>
  <c r="I137" i="2" l="1"/>
  <c r="D142" i="6" s="1"/>
  <c r="K137" i="2"/>
  <c r="Z137" i="2" s="1"/>
  <c r="AA137" i="2" l="1"/>
  <c r="G142" i="6" s="1"/>
  <c r="L137" i="2"/>
  <c r="F142" i="6" s="1"/>
  <c r="H142" i="6" l="1"/>
  <c r="N137" i="2"/>
  <c r="G138" i="2" s="1"/>
  <c r="W137" i="2" l="1"/>
  <c r="AB137" i="2" s="1"/>
  <c r="I138" i="2" l="1"/>
  <c r="D143" i="6" s="1"/>
  <c r="K138" i="2"/>
  <c r="Z138" i="2" s="1"/>
  <c r="AA138" i="2" l="1"/>
  <c r="G143" i="6" s="1"/>
  <c r="L138" i="2"/>
  <c r="F143" i="6" s="1"/>
  <c r="H143" i="6" l="1"/>
  <c r="N138" i="2"/>
  <c r="G139" i="2" s="1"/>
  <c r="W138" i="2" l="1"/>
  <c r="AB138" i="2" s="1"/>
  <c r="I139" i="2" l="1"/>
  <c r="D144" i="6" s="1"/>
  <c r="K139" i="2"/>
  <c r="Z139" i="2" s="1"/>
  <c r="AA139" i="2" l="1"/>
  <c r="G144" i="6" s="1"/>
  <c r="L139" i="2"/>
  <c r="F144" i="6" s="1"/>
  <c r="D25" i="3"/>
  <c r="H144" i="6" l="1"/>
  <c r="G25" i="3"/>
  <c r="N139" i="2"/>
  <c r="G140" i="2" s="1"/>
  <c r="F25" i="3"/>
  <c r="W139" i="2" l="1"/>
  <c r="AB139" i="2" l="1"/>
  <c r="I140" i="2"/>
  <c r="D145" i="6" s="1"/>
  <c r="K140" i="2"/>
  <c r="Z140" i="2" s="1"/>
  <c r="H25" i="3" l="1"/>
  <c r="AA140" i="2"/>
  <c r="G145" i="6" s="1"/>
  <c r="L140" i="2"/>
  <c r="F145" i="6" s="1"/>
  <c r="H145" i="6" l="1"/>
  <c r="N140" i="2"/>
  <c r="G141" i="2" s="1"/>
  <c r="W140" i="2" l="1"/>
  <c r="AB140" i="2" s="1"/>
  <c r="I141" i="2" l="1"/>
  <c r="D146" i="6" s="1"/>
  <c r="K141" i="2"/>
  <c r="Z141" i="2" s="1"/>
  <c r="AA141" i="2" l="1"/>
  <c r="G146" i="6" s="1"/>
  <c r="L141" i="2"/>
  <c r="F146" i="6" s="1"/>
  <c r="H146" i="6" l="1"/>
  <c r="N141" i="2"/>
  <c r="G142" i="2" s="1"/>
  <c r="W141" i="2" l="1"/>
  <c r="AB141" i="2" s="1"/>
  <c r="I142" i="2" l="1"/>
  <c r="D147" i="6" s="1"/>
  <c r="K142" i="2"/>
  <c r="Z142" i="2" s="1"/>
  <c r="AA142" i="2" l="1"/>
  <c r="G147" i="6" s="1"/>
  <c r="L142" i="2"/>
  <c r="F147" i="6" s="1"/>
  <c r="H147" i="6" l="1"/>
  <c r="N142" i="2"/>
  <c r="G143" i="2" s="1"/>
  <c r="W142" i="2" l="1"/>
  <c r="AB142" i="2" s="1"/>
  <c r="K143" i="2" l="1"/>
  <c r="Z143" i="2" s="1"/>
  <c r="I143" i="2"/>
  <c r="D148" i="6" s="1"/>
  <c r="AA143" i="2" l="1"/>
  <c r="G148" i="6" s="1"/>
  <c r="L143" i="2"/>
  <c r="F148" i="6" s="1"/>
  <c r="H148" i="6" l="1"/>
  <c r="N143" i="2"/>
  <c r="G144" i="2" s="1"/>
  <c r="W143" i="2" l="1"/>
  <c r="AB143" i="2" s="1"/>
  <c r="I144" i="2" l="1"/>
  <c r="D149" i="6" s="1"/>
  <c r="K144" i="2"/>
  <c r="Z144" i="2" s="1"/>
  <c r="AA144" i="2" l="1"/>
  <c r="G149" i="6" s="1"/>
  <c r="L144" i="2"/>
  <c r="F149" i="6" s="1"/>
  <c r="H149" i="6" l="1"/>
  <c r="N144" i="2"/>
  <c r="G145" i="2" s="1"/>
  <c r="W144" i="2" l="1"/>
  <c r="AB144" i="2" s="1"/>
  <c r="I145" i="2" l="1"/>
  <c r="D150" i="6" s="1"/>
  <c r="K145" i="2"/>
  <c r="Z145" i="2" s="1"/>
  <c r="AA145" i="2" l="1"/>
  <c r="G150" i="6" s="1"/>
  <c r="L145" i="2"/>
  <c r="F150" i="6" s="1"/>
  <c r="D26" i="3"/>
  <c r="H150" i="6" l="1"/>
  <c r="G26" i="3"/>
  <c r="N145" i="2"/>
  <c r="G146" i="2" s="1"/>
  <c r="F26" i="3"/>
  <c r="W145" i="2" l="1"/>
  <c r="AB145" i="2" l="1"/>
  <c r="K146" i="2"/>
  <c r="Z146" i="2" s="1"/>
  <c r="I146" i="2"/>
  <c r="D151" i="6" s="1"/>
  <c r="H26" i="3" l="1"/>
  <c r="AA146" i="2"/>
  <c r="G151" i="6" s="1"/>
  <c r="L146" i="2"/>
  <c r="F151" i="6" s="1"/>
  <c r="H151" i="6" l="1"/>
  <c r="N146" i="2"/>
  <c r="G147" i="2" s="1"/>
  <c r="W146" i="2" l="1"/>
  <c r="AB146" i="2" s="1"/>
  <c r="K147" i="2" l="1"/>
  <c r="Z147" i="2" s="1"/>
  <c r="I147" i="2"/>
  <c r="D152" i="6" s="1"/>
  <c r="AA147" i="2" l="1"/>
  <c r="G152" i="6" s="1"/>
  <c r="L147" i="2"/>
  <c r="F152" i="6" s="1"/>
  <c r="H152" i="6" l="1"/>
  <c r="N147" i="2"/>
  <c r="G148" i="2" s="1"/>
  <c r="W147" i="2" l="1"/>
  <c r="AB147" i="2" s="1"/>
  <c r="I148" i="2" l="1"/>
  <c r="D153" i="6" s="1"/>
  <c r="K148" i="2"/>
  <c r="Z148" i="2" s="1"/>
  <c r="AA148" i="2" l="1"/>
  <c r="G153" i="6" s="1"/>
  <c r="L148" i="2"/>
  <c r="F153" i="6" s="1"/>
  <c r="H153" i="6" l="1"/>
  <c r="N148" i="2"/>
  <c r="G149" i="2" s="1"/>
  <c r="W148" i="2" l="1"/>
  <c r="AB148" i="2" s="1"/>
  <c r="I149" i="2" l="1"/>
  <c r="D154" i="6" s="1"/>
  <c r="K149" i="2"/>
  <c r="Z149" i="2" s="1"/>
  <c r="AA149" i="2" l="1"/>
  <c r="G154" i="6" s="1"/>
  <c r="L149" i="2"/>
  <c r="F154" i="6" s="1"/>
  <c r="H154" i="6" l="1"/>
  <c r="N149" i="2"/>
  <c r="G150" i="2" s="1"/>
  <c r="W149" i="2" l="1"/>
  <c r="AB149" i="2" s="1"/>
  <c r="I150" i="2" l="1"/>
  <c r="D155" i="6" s="1"/>
  <c r="K150" i="2"/>
  <c r="Z150" i="2" s="1"/>
  <c r="AA150" i="2" l="1"/>
  <c r="G155" i="6" s="1"/>
  <c r="L150" i="2"/>
  <c r="F155" i="6" s="1"/>
  <c r="H155" i="6" l="1"/>
  <c r="N150" i="2"/>
  <c r="G151" i="2" s="1"/>
  <c r="W150" i="2" l="1"/>
  <c r="AB150" i="2" s="1"/>
  <c r="I151" i="2" l="1"/>
  <c r="D156" i="6" s="1"/>
  <c r="K151" i="2"/>
  <c r="Z151" i="2" s="1"/>
  <c r="AA151" i="2" l="1"/>
  <c r="G156" i="6" s="1"/>
  <c r="L151" i="2"/>
  <c r="F156" i="6" s="1"/>
  <c r="D27" i="3"/>
  <c r="G27" i="3" l="1"/>
  <c r="H156" i="6"/>
  <c r="N151" i="2"/>
  <c r="G152" i="2" s="1"/>
  <c r="F27" i="3"/>
  <c r="W151" i="2" l="1"/>
  <c r="AB151" i="2" l="1"/>
  <c r="I152" i="2"/>
  <c r="D157" i="6" s="1"/>
  <c r="K152" i="2"/>
  <c r="Z152" i="2" s="1"/>
  <c r="AA152" i="2" l="1"/>
  <c r="G157" i="6" s="1"/>
  <c r="H27" i="3"/>
  <c r="L152" i="2"/>
  <c r="F157" i="6" s="1"/>
  <c r="H157" i="6" l="1"/>
  <c r="N152" i="2"/>
  <c r="G153" i="2" s="1"/>
  <c r="W152" i="2" l="1"/>
  <c r="AB152" i="2" s="1"/>
  <c r="I153" i="2" l="1"/>
  <c r="D158" i="6" s="1"/>
  <c r="K153" i="2"/>
  <c r="Z153" i="2" s="1"/>
  <c r="AA153" i="2" l="1"/>
  <c r="G158" i="6" s="1"/>
  <c r="L153" i="2"/>
  <c r="F158" i="6" s="1"/>
  <c r="H158" i="6" l="1"/>
  <c r="N153" i="2"/>
  <c r="G154" i="2" s="1"/>
  <c r="W153" i="2" l="1"/>
  <c r="AB153" i="2" s="1"/>
  <c r="I154" i="2" l="1"/>
  <c r="D159" i="6" s="1"/>
  <c r="K154" i="2"/>
  <c r="Z154" i="2" s="1"/>
  <c r="AA154" i="2" l="1"/>
  <c r="G159" i="6" s="1"/>
  <c r="L154" i="2"/>
  <c r="F159" i="6" s="1"/>
  <c r="H159" i="6" l="1"/>
  <c r="N154" i="2"/>
  <c r="G155" i="2" s="1"/>
  <c r="W154" i="2" l="1"/>
  <c r="AB154" i="2" s="1"/>
  <c r="I155" i="2" l="1"/>
  <c r="D160" i="6" s="1"/>
  <c r="K155" i="2"/>
  <c r="Z155" i="2" s="1"/>
  <c r="AA155" i="2" l="1"/>
  <c r="G160" i="6" s="1"/>
  <c r="L155" i="2"/>
  <c r="F160" i="6" s="1"/>
  <c r="H160" i="6" l="1"/>
  <c r="N155" i="2"/>
  <c r="G156" i="2" s="1"/>
  <c r="W155" i="2" l="1"/>
  <c r="AB155" i="2" s="1"/>
  <c r="I156" i="2" l="1"/>
  <c r="D161" i="6" s="1"/>
  <c r="K156" i="2"/>
  <c r="Z156" i="2" s="1"/>
  <c r="AA156" i="2" l="1"/>
  <c r="G161" i="6" s="1"/>
  <c r="L156" i="2"/>
  <c r="F161" i="6" s="1"/>
  <c r="H161" i="6" l="1"/>
  <c r="N156" i="2"/>
  <c r="G157" i="2" s="1"/>
  <c r="W156" i="2" l="1"/>
  <c r="AB156" i="2" s="1"/>
  <c r="K157" i="2" l="1"/>
  <c r="Z157" i="2" s="1"/>
  <c r="I157" i="2"/>
  <c r="D162" i="6" s="1"/>
  <c r="AA157" i="2" l="1"/>
  <c r="G162" i="6" s="1"/>
  <c r="L157" i="2"/>
  <c r="F162" i="6" s="1"/>
  <c r="D28" i="3"/>
  <c r="G28" i="3" l="1"/>
  <c r="H162" i="6"/>
  <c r="N157" i="2"/>
  <c r="G158" i="2" s="1"/>
  <c r="F28" i="3"/>
  <c r="W157" i="2" l="1"/>
  <c r="AB157" i="2" l="1"/>
  <c r="I158" i="2"/>
  <c r="D163" i="6" s="1"/>
  <c r="K158" i="2"/>
  <c r="Z158" i="2" s="1"/>
  <c r="AA158" i="2" l="1"/>
  <c r="G163" i="6" s="1"/>
  <c r="H28" i="3"/>
  <c r="L158" i="2"/>
  <c r="F163" i="6" l="1"/>
  <c r="H163" i="6" s="1"/>
  <c r="N158" i="2"/>
  <c r="G159" i="2" s="1"/>
  <c r="W158" i="2" l="1"/>
  <c r="AB158" i="2" s="1"/>
  <c r="I159" i="2" l="1"/>
  <c r="D164" i="6" s="1"/>
  <c r="K159" i="2"/>
  <c r="Z159" i="2" s="1"/>
  <c r="AA159" i="2" l="1"/>
  <c r="G164" i="6" s="1"/>
  <c r="L159" i="2"/>
  <c r="F164" i="6" s="1"/>
  <c r="H164" i="6" l="1"/>
  <c r="N159" i="2"/>
  <c r="G160" i="2" s="1"/>
  <c r="W159" i="2" l="1"/>
  <c r="AB159" i="2" s="1"/>
  <c r="K160" i="2" l="1"/>
  <c r="Z160" i="2" s="1"/>
  <c r="I160" i="2"/>
  <c r="D165" i="6" s="1"/>
  <c r="AA160" i="2" l="1"/>
  <c r="G165" i="6" s="1"/>
  <c r="L160" i="2"/>
  <c r="F165" i="6" s="1"/>
  <c r="H165" i="6" l="1"/>
  <c r="N160" i="2"/>
  <c r="G161" i="2" s="1"/>
  <c r="W160" i="2" l="1"/>
  <c r="AB160" i="2" s="1"/>
  <c r="I161" i="2" l="1"/>
  <c r="D166" i="6" s="1"/>
  <c r="K161" i="2"/>
  <c r="Z161" i="2" s="1"/>
  <c r="AA161" i="2" l="1"/>
  <c r="G166" i="6" s="1"/>
  <c r="L161" i="2"/>
  <c r="F166" i="6" s="1"/>
  <c r="H166" i="6" l="1"/>
  <c r="N161" i="2"/>
  <c r="G162" i="2" s="1"/>
  <c r="W161" i="2" l="1"/>
  <c r="AB161" i="2" s="1"/>
  <c r="I162" i="2" l="1"/>
  <c r="D167" i="6" s="1"/>
  <c r="K162" i="2"/>
  <c r="Z162" i="2" s="1"/>
  <c r="AA162" i="2" l="1"/>
  <c r="G167" i="6" s="1"/>
  <c r="L162" i="2"/>
  <c r="F167" i="6" l="1"/>
  <c r="H167" i="6" s="1"/>
  <c r="N162" i="2"/>
  <c r="G163" i="2" s="1"/>
  <c r="W162" i="2" l="1"/>
  <c r="AB162" i="2" s="1"/>
  <c r="K163" i="2" l="1"/>
  <c r="Z163" i="2" s="1"/>
  <c r="I163" i="2"/>
  <c r="D168" i="6" s="1"/>
  <c r="AA163" i="2" l="1"/>
  <c r="G168" i="6" s="1"/>
  <c r="L163" i="2"/>
  <c r="F168" i="6" s="1"/>
  <c r="D29" i="3"/>
  <c r="G29" i="3" l="1"/>
  <c r="H168" i="6"/>
  <c r="N163" i="2"/>
  <c r="G164" i="2" s="1"/>
  <c r="F29" i="3"/>
  <c r="W163" i="2" l="1"/>
  <c r="AB163" i="2" l="1"/>
  <c r="I164" i="2"/>
  <c r="D169" i="6" s="1"/>
  <c r="K164" i="2"/>
  <c r="Z164" i="2" s="1"/>
  <c r="AA164" i="2" l="1"/>
  <c r="G169" i="6" s="1"/>
  <c r="H29" i="3"/>
  <c r="L164" i="2"/>
  <c r="F169" i="6" s="1"/>
  <c r="H169" i="6" l="1"/>
  <c r="N164" i="2"/>
  <c r="G165" i="2" s="1"/>
  <c r="W164" i="2" l="1"/>
  <c r="AB164" i="2" s="1"/>
  <c r="K165" i="2"/>
  <c r="Z165" i="2" s="1"/>
  <c r="I165" i="2"/>
  <c r="D170" i="6" s="1"/>
  <c r="AA165" i="2" l="1"/>
  <c r="G170" i="6" s="1"/>
  <c r="L165" i="2"/>
  <c r="F170" i="6" s="1"/>
  <c r="H170" i="6" l="1"/>
  <c r="N165" i="2"/>
  <c r="G166" i="2" s="1"/>
  <c r="W165" i="2" l="1"/>
  <c r="AB165" i="2" s="1"/>
  <c r="I166" i="2" l="1"/>
  <c r="D171" i="6" s="1"/>
  <c r="K166" i="2"/>
  <c r="Z166" i="2" s="1"/>
  <c r="AA166" i="2" l="1"/>
  <c r="G171" i="6" s="1"/>
  <c r="L166" i="2"/>
  <c r="F171" i="6" s="1"/>
  <c r="H171" i="6" l="1"/>
  <c r="N166" i="2"/>
  <c r="G167" i="2" s="1"/>
  <c r="W166" i="2" l="1"/>
  <c r="AB166" i="2" s="1"/>
  <c r="I167" i="2" l="1"/>
  <c r="D172" i="6" s="1"/>
  <c r="K167" i="2"/>
  <c r="Z167" i="2" s="1"/>
  <c r="AA167" i="2" l="1"/>
  <c r="G172" i="6" s="1"/>
  <c r="L167" i="2"/>
  <c r="F172" i="6" s="1"/>
  <c r="H172" i="6" l="1"/>
  <c r="N167" i="2"/>
  <c r="G168" i="2" s="1"/>
  <c r="W167" i="2" l="1"/>
  <c r="AB167" i="2" s="1"/>
  <c r="I168" i="2" l="1"/>
  <c r="D173" i="6" s="1"/>
  <c r="K168" i="2"/>
  <c r="Z168" i="2" s="1"/>
  <c r="AA168" i="2" l="1"/>
  <c r="G173" i="6" s="1"/>
  <c r="L168" i="2"/>
  <c r="F173" i="6" s="1"/>
  <c r="H173" i="6" l="1"/>
  <c r="N168" i="2"/>
  <c r="G169" i="2" s="1"/>
  <c r="W168" i="2" l="1"/>
  <c r="AB168" i="2" s="1"/>
  <c r="I169" i="2" l="1"/>
  <c r="D174" i="6" s="1"/>
  <c r="K169" i="2"/>
  <c r="Z169" i="2" s="1"/>
  <c r="AA169" i="2" l="1"/>
  <c r="G174" i="6" s="1"/>
  <c r="L169" i="2"/>
  <c r="F174" i="6" s="1"/>
  <c r="D30" i="3"/>
  <c r="G30" i="3" l="1"/>
  <c r="H174" i="6"/>
  <c r="N169" i="2"/>
  <c r="G170" i="2" s="1"/>
  <c r="F30" i="3"/>
  <c r="W169" i="2" l="1"/>
  <c r="AB169" i="2" l="1"/>
  <c r="I170" i="2"/>
  <c r="D175" i="6" s="1"/>
  <c r="K170" i="2"/>
  <c r="Z170" i="2" s="1"/>
  <c r="AA170" i="2" l="1"/>
  <c r="G175" i="6" s="1"/>
  <c r="H30" i="3"/>
  <c r="L170" i="2"/>
  <c r="F175" i="6" s="1"/>
  <c r="H175" i="6" l="1"/>
  <c r="N170" i="2"/>
  <c r="G171" i="2" s="1"/>
  <c r="W170" i="2" l="1"/>
  <c r="AB170" i="2" s="1"/>
  <c r="I171" i="2" l="1"/>
  <c r="D176" i="6" s="1"/>
  <c r="K171" i="2"/>
  <c r="Z171" i="2" s="1"/>
  <c r="AA171" i="2" l="1"/>
  <c r="G176" i="6" s="1"/>
  <c r="L171" i="2"/>
  <c r="F176" i="6" s="1"/>
  <c r="H176" i="6" l="1"/>
  <c r="N171" i="2"/>
  <c r="G172" i="2" s="1"/>
  <c r="W171" i="2" l="1"/>
  <c r="AB171" i="2" s="1"/>
  <c r="I172" i="2" l="1"/>
  <c r="D177" i="6" s="1"/>
  <c r="K172" i="2"/>
  <c r="Z172" i="2" s="1"/>
  <c r="AA172" i="2" l="1"/>
  <c r="G177" i="6" s="1"/>
  <c r="L172" i="2"/>
  <c r="F177" i="6" s="1"/>
  <c r="H177" i="6" l="1"/>
  <c r="N172" i="2"/>
  <c r="G173" i="2" s="1"/>
  <c r="W172" i="2" l="1"/>
  <c r="AB172" i="2" s="1"/>
  <c r="I173" i="2" l="1"/>
  <c r="D178" i="6" s="1"/>
  <c r="K173" i="2"/>
  <c r="Z173" i="2" s="1"/>
  <c r="AA173" i="2" l="1"/>
  <c r="G178" i="6" s="1"/>
  <c r="L173" i="2"/>
  <c r="F178" i="6" s="1"/>
  <c r="H178" i="6" l="1"/>
  <c r="N173" i="2"/>
  <c r="G174" i="2" s="1"/>
  <c r="W173" i="2" l="1"/>
  <c r="AB173" i="2" s="1"/>
  <c r="I174" i="2" l="1"/>
  <c r="D179" i="6" s="1"/>
  <c r="K174" i="2"/>
  <c r="Z174" i="2" s="1"/>
  <c r="AA174" i="2" l="1"/>
  <c r="G179" i="6" s="1"/>
  <c r="L174" i="2"/>
  <c r="F179" i="6" s="1"/>
  <c r="H179" i="6" l="1"/>
  <c r="N174" i="2"/>
  <c r="G175" i="2" s="1"/>
  <c r="W174" i="2" l="1"/>
  <c r="AB174" i="2" s="1"/>
  <c r="I175" i="2" l="1"/>
  <c r="D180" i="6" s="1"/>
  <c r="K175" i="2"/>
  <c r="Z175" i="2" s="1"/>
  <c r="AA175" i="2" l="1"/>
  <c r="G180" i="6" s="1"/>
  <c r="L175" i="2"/>
  <c r="F180" i="6" s="1"/>
  <c r="D31" i="3"/>
  <c r="G31" i="3" l="1"/>
  <c r="H180" i="6"/>
  <c r="N175" i="2"/>
  <c r="G176" i="2" s="1"/>
  <c r="F31" i="3"/>
  <c r="W175" i="2" l="1"/>
  <c r="AB175" i="2" l="1"/>
  <c r="I176" i="2"/>
  <c r="D181" i="6" s="1"/>
  <c r="K176" i="2"/>
  <c r="Z176" i="2" s="1"/>
  <c r="AA176" i="2" l="1"/>
  <c r="G181" i="6" s="1"/>
  <c r="H31" i="3"/>
  <c r="L176" i="2"/>
  <c r="F181" i="6" l="1"/>
  <c r="H181" i="6" s="1"/>
  <c r="N176" i="2"/>
  <c r="G177" i="2" s="1"/>
  <c r="W176" i="2" l="1"/>
  <c r="AB176" i="2" s="1"/>
  <c r="K177" i="2" l="1"/>
  <c r="Z177" i="2" s="1"/>
  <c r="I177" i="2"/>
  <c r="D182" i="6" s="1"/>
  <c r="AA177" i="2" l="1"/>
  <c r="G182" i="6" s="1"/>
  <c r="L177" i="2"/>
  <c r="F182" i="6" s="1"/>
  <c r="H182" i="6" l="1"/>
  <c r="N177" i="2"/>
  <c r="G178" i="2" s="1"/>
  <c r="W177" i="2" l="1"/>
  <c r="AB177" i="2" s="1"/>
  <c r="K178" i="2" l="1"/>
  <c r="Z178" i="2" s="1"/>
  <c r="I178" i="2"/>
  <c r="D183" i="6" s="1"/>
  <c r="AA178" i="2" l="1"/>
  <c r="G183" i="6" s="1"/>
  <c r="L178" i="2"/>
  <c r="F183" i="6" s="1"/>
  <c r="H183" i="6" l="1"/>
  <c r="N178" i="2"/>
  <c r="G179" i="2" s="1"/>
  <c r="W178" i="2" l="1"/>
  <c r="AB178" i="2" s="1"/>
  <c r="I179" i="2" l="1"/>
  <c r="D184" i="6" s="1"/>
  <c r="K179" i="2"/>
  <c r="Z179" i="2" s="1"/>
  <c r="AA179" i="2" l="1"/>
  <c r="G184" i="6" s="1"/>
  <c r="L179" i="2"/>
  <c r="F184" i="6" s="1"/>
  <c r="H184" i="6" l="1"/>
  <c r="N179" i="2"/>
  <c r="G180" i="2" s="1"/>
  <c r="W179" i="2" l="1"/>
  <c r="AB179" i="2" s="1"/>
  <c r="I180" i="2" l="1"/>
  <c r="D185" i="6" s="1"/>
  <c r="K180" i="2"/>
  <c r="Z180" i="2" s="1"/>
  <c r="AA180" i="2" l="1"/>
  <c r="G185" i="6" s="1"/>
  <c r="L180" i="2"/>
  <c r="F185" i="6" s="1"/>
  <c r="H185" i="6" l="1"/>
  <c r="N180" i="2"/>
  <c r="G181" i="2" s="1"/>
  <c r="W180" i="2" l="1"/>
  <c r="AB180" i="2" s="1"/>
  <c r="I181" i="2" l="1"/>
  <c r="D186" i="6" s="1"/>
  <c r="K181" i="2"/>
  <c r="Z181" i="2" s="1"/>
  <c r="AA181" i="2" l="1"/>
  <c r="G186" i="6" s="1"/>
  <c r="L181" i="2"/>
  <c r="F186" i="6" s="1"/>
  <c r="D32" i="3"/>
  <c r="G32" i="3" l="1"/>
  <c r="H186" i="6"/>
  <c r="N181" i="2"/>
  <c r="G182" i="2" s="1"/>
  <c r="F32" i="3"/>
  <c r="W181" i="2" l="1"/>
  <c r="AB181" i="2" l="1"/>
  <c r="I182" i="2"/>
  <c r="D187" i="6" s="1"/>
  <c r="K182" i="2"/>
  <c r="Z182" i="2" s="1"/>
  <c r="AA182" i="2" l="1"/>
  <c r="G187" i="6" s="1"/>
  <c r="H32" i="3"/>
  <c r="L182" i="2"/>
  <c r="F187" i="6" s="1"/>
  <c r="H187" i="6" l="1"/>
  <c r="N182" i="2"/>
  <c r="G183" i="2" s="1"/>
  <c r="W182" i="2" l="1"/>
  <c r="AB182" i="2" s="1"/>
  <c r="I183" i="2"/>
  <c r="D188" i="6" s="1"/>
  <c r="K183" i="2"/>
  <c r="Z183" i="2" s="1"/>
  <c r="AA183" i="2" l="1"/>
  <c r="G188" i="6" s="1"/>
  <c r="L183" i="2"/>
  <c r="F188" i="6" s="1"/>
  <c r="H188" i="6" l="1"/>
  <c r="N183" i="2"/>
  <c r="G184" i="2" s="1"/>
  <c r="W183" i="2" l="1"/>
  <c r="AB183" i="2" s="1"/>
  <c r="I184" i="2"/>
  <c r="D189" i="6" s="1"/>
  <c r="K184" i="2"/>
  <c r="Z184" i="2" s="1"/>
  <c r="AA184" i="2" l="1"/>
  <c r="G189" i="6" s="1"/>
  <c r="L184" i="2"/>
  <c r="F189" i="6" l="1"/>
  <c r="H189" i="6" s="1"/>
  <c r="N184" i="2"/>
  <c r="G185" i="2" s="1"/>
  <c r="W184" i="2" l="1"/>
  <c r="AB184" i="2" s="1"/>
  <c r="I185" i="2"/>
  <c r="D190" i="6" s="1"/>
  <c r="K185" i="2"/>
  <c r="Z185" i="2" s="1"/>
  <c r="AA185" i="2" l="1"/>
  <c r="G190" i="6" s="1"/>
  <c r="L185" i="2"/>
  <c r="F190" i="6" s="1"/>
  <c r="H190" i="6" l="1"/>
  <c r="N185" i="2"/>
  <c r="G186" i="2" s="1"/>
  <c r="W185" i="2" l="1"/>
  <c r="AB185" i="2" s="1"/>
  <c r="K186" i="2"/>
  <c r="Z186" i="2" s="1"/>
  <c r="I186" i="2"/>
  <c r="D191" i="6" s="1"/>
  <c r="AA186" i="2" l="1"/>
  <c r="G191" i="6" s="1"/>
  <c r="L186" i="2"/>
  <c r="F191" i="6" s="1"/>
  <c r="H191" i="6" l="1"/>
  <c r="N186" i="2"/>
  <c r="G187" i="2" s="1"/>
  <c r="W186" i="2" l="1"/>
  <c r="AB186" i="2" s="1"/>
  <c r="K187" i="2" l="1"/>
  <c r="Z187" i="2" s="1"/>
  <c r="I187" i="2"/>
  <c r="D192" i="6" s="1"/>
  <c r="AA187" i="2" l="1"/>
  <c r="G192" i="6" s="1"/>
  <c r="L187" i="2"/>
  <c r="F192" i="6" s="1"/>
  <c r="D33" i="3"/>
  <c r="G33" i="3" l="1"/>
  <c r="H192" i="6"/>
  <c r="N187" i="2"/>
  <c r="G188" i="2" s="1"/>
  <c r="F33" i="3"/>
  <c r="W187" i="2" l="1"/>
  <c r="AB187" i="2" l="1"/>
  <c r="I188" i="2"/>
  <c r="D193" i="6" s="1"/>
  <c r="K188" i="2"/>
  <c r="Z188" i="2" s="1"/>
  <c r="AA188" i="2" l="1"/>
  <c r="G193" i="6" s="1"/>
  <c r="H33" i="3"/>
  <c r="L188" i="2"/>
  <c r="F193" i="6" s="1"/>
  <c r="H193" i="6" l="1"/>
  <c r="N188" i="2"/>
  <c r="G189" i="2" s="1"/>
  <c r="W188" i="2" l="1"/>
  <c r="AB188" i="2" s="1"/>
  <c r="K189" i="2"/>
  <c r="Z189" i="2" s="1"/>
  <c r="I189" i="2"/>
  <c r="D194" i="6" s="1"/>
  <c r="AA189" i="2" l="1"/>
  <c r="G194" i="6" s="1"/>
  <c r="L189" i="2"/>
  <c r="F194" i="6" s="1"/>
  <c r="H194" i="6" l="1"/>
  <c r="N189" i="2"/>
  <c r="G190" i="2" s="1"/>
  <c r="W189" i="2" l="1"/>
  <c r="AB189" i="2" s="1"/>
  <c r="I190" i="2" l="1"/>
  <c r="D195" i="6" s="1"/>
  <c r="K190" i="2"/>
  <c r="Z190" i="2" s="1"/>
  <c r="AA190" i="2" l="1"/>
  <c r="G195" i="6" s="1"/>
  <c r="L190" i="2"/>
  <c r="F195" i="6" s="1"/>
  <c r="H195" i="6" l="1"/>
  <c r="N190" i="2"/>
  <c r="G191" i="2" s="1"/>
  <c r="W190" i="2" l="1"/>
  <c r="AB190" i="2" s="1"/>
  <c r="I191" i="2" l="1"/>
  <c r="D196" i="6" s="1"/>
  <c r="K191" i="2"/>
  <c r="Z191" i="2" s="1"/>
  <c r="AA191" i="2" l="1"/>
  <c r="G196" i="6" s="1"/>
  <c r="L191" i="2"/>
  <c r="F196" i="6" s="1"/>
  <c r="H196" i="6" l="1"/>
  <c r="N191" i="2"/>
  <c r="G192" i="2" s="1"/>
  <c r="W191" i="2" l="1"/>
  <c r="AB191" i="2" s="1"/>
  <c r="I192" i="2" l="1"/>
  <c r="D197" i="6" s="1"/>
  <c r="K192" i="2"/>
  <c r="Z192" i="2" s="1"/>
  <c r="AA192" i="2" l="1"/>
  <c r="G197" i="6" s="1"/>
  <c r="L192" i="2"/>
  <c r="F197" i="6" s="1"/>
  <c r="H197" i="6" l="1"/>
  <c r="N192" i="2"/>
  <c r="G193" i="2" s="1"/>
  <c r="W192" i="2" l="1"/>
  <c r="AB192" i="2" s="1"/>
  <c r="K193" i="2" l="1"/>
  <c r="Z193" i="2" s="1"/>
  <c r="I193" i="2"/>
  <c r="D198" i="6" s="1"/>
  <c r="AA193" i="2" l="1"/>
  <c r="G198" i="6" s="1"/>
  <c r="Z231" i="2"/>
  <c r="G48" i="1"/>
  <c r="K231" i="2"/>
  <c r="L193" i="2"/>
  <c r="I231" i="2"/>
  <c r="D34" i="3"/>
  <c r="D41" i="3" s="1"/>
  <c r="D43" i="3" s="1"/>
  <c r="F198" i="6" l="1"/>
  <c r="H198" i="6" s="1"/>
  <c r="I48" i="1"/>
  <c r="N193" i="2"/>
  <c r="G194" i="2" s="1"/>
  <c r="N194" i="2" s="1"/>
  <c r="AA231" i="2"/>
  <c r="G34" i="3"/>
  <c r="G41" i="3" s="1"/>
  <c r="L231" i="2"/>
  <c r="F34" i="3"/>
  <c r="F41" i="3" s="1"/>
  <c r="C50" i="1"/>
  <c r="G43" i="3" l="1"/>
  <c r="W193" i="2"/>
  <c r="G195" i="2"/>
  <c r="N195" i="2" s="1"/>
  <c r="AB193" i="2" l="1"/>
  <c r="G196" i="2"/>
  <c r="N196" i="2" s="1"/>
  <c r="W194" i="2"/>
  <c r="AB194" i="2" s="1"/>
  <c r="H34" i="3" l="1"/>
  <c r="G197" i="2"/>
  <c r="N197" i="2" s="1"/>
  <c r="W195" i="2"/>
  <c r="AB195" i="2" s="1"/>
  <c r="W196" i="2" l="1"/>
  <c r="AB196" i="2" s="1"/>
  <c r="G198" i="2"/>
  <c r="N198" i="2" s="1"/>
  <c r="W197" i="2" l="1"/>
  <c r="AB197" i="2" s="1"/>
  <c r="G199" i="2"/>
  <c r="N199" i="2" s="1"/>
  <c r="G200" i="2" l="1"/>
  <c r="N200" i="2" s="1"/>
  <c r="W198" i="2"/>
  <c r="AB198" i="2" s="1"/>
  <c r="G201" i="2" l="1"/>
  <c r="N201" i="2" s="1"/>
  <c r="W199" i="2"/>
  <c r="AB199" i="2" l="1"/>
  <c r="G202" i="2"/>
  <c r="N202" i="2" s="1"/>
  <c r="W200" i="2"/>
  <c r="AB200" i="2" s="1"/>
  <c r="H35" i="3" l="1"/>
  <c r="G203" i="2"/>
  <c r="N203" i="2" s="1"/>
  <c r="W201" i="2"/>
  <c r="AB201" i="2" s="1"/>
  <c r="G204" i="2" l="1"/>
  <c r="N204" i="2" s="1"/>
  <c r="W202" i="2"/>
  <c r="AB202" i="2" s="1"/>
  <c r="W203" i="2" l="1"/>
  <c r="AB203" i="2" s="1"/>
  <c r="G205" i="2"/>
  <c r="N205" i="2" s="1"/>
  <c r="W204" i="2" l="1"/>
  <c r="AB204" i="2" s="1"/>
  <c r="G206" i="2"/>
  <c r="N206" i="2" s="1"/>
  <c r="W205" i="2" l="1"/>
  <c r="G207" i="2"/>
  <c r="N207" i="2" s="1"/>
  <c r="AB205" i="2" l="1"/>
  <c r="G208" i="2"/>
  <c r="N208" i="2" s="1"/>
  <c r="W206" i="2"/>
  <c r="AB206" i="2" s="1"/>
  <c r="H36" i="3" l="1"/>
  <c r="W207" i="2"/>
  <c r="AB207" i="2" s="1"/>
  <c r="G209" i="2"/>
  <c r="N209" i="2" s="1"/>
  <c r="G210" i="2" l="1"/>
  <c r="N210" i="2" s="1"/>
  <c r="W208" i="2"/>
  <c r="AB208" i="2" s="1"/>
  <c r="W209" i="2" l="1"/>
  <c r="AB209" i="2" s="1"/>
  <c r="G211" i="2"/>
  <c r="N211" i="2" s="1"/>
  <c r="G212" i="2" l="1"/>
  <c r="N212" i="2" s="1"/>
  <c r="W210" i="2"/>
  <c r="AB210" i="2" s="1"/>
  <c r="G213" i="2" l="1"/>
  <c r="N213" i="2" s="1"/>
  <c r="W211" i="2"/>
  <c r="AB211" i="2" l="1"/>
  <c r="W212" i="2"/>
  <c r="AB212" i="2" s="1"/>
  <c r="G214" i="2"/>
  <c r="N214" i="2" s="1"/>
  <c r="H37" i="3" l="1"/>
  <c r="G215" i="2"/>
  <c r="N215" i="2" s="1"/>
  <c r="W213" i="2"/>
  <c r="AB213" i="2" s="1"/>
  <c r="G216" i="2" l="1"/>
  <c r="N216" i="2" s="1"/>
  <c r="W214" i="2"/>
  <c r="AB214" i="2" s="1"/>
  <c r="W215" i="2" l="1"/>
  <c r="AB215" i="2" s="1"/>
  <c r="G217" i="2"/>
  <c r="N217" i="2" s="1"/>
  <c r="W216" i="2" l="1"/>
  <c r="AB216" i="2" s="1"/>
  <c r="G218" i="2"/>
  <c r="N218" i="2" s="1"/>
  <c r="G219" i="2" l="1"/>
  <c r="N219" i="2" s="1"/>
  <c r="W217" i="2"/>
  <c r="AB217" i="2" l="1"/>
  <c r="G220" i="2"/>
  <c r="N220" i="2" s="1"/>
  <c r="W218" i="2"/>
  <c r="AB218" i="2" s="1"/>
  <c r="H38" i="3" l="1"/>
  <c r="W219" i="2"/>
  <c r="AB219" i="2" s="1"/>
  <c r="G221" i="2"/>
  <c r="N221" i="2" s="1"/>
  <c r="W220" i="2" l="1"/>
  <c r="AB220" i="2" s="1"/>
  <c r="G222" i="2"/>
  <c r="N222" i="2" s="1"/>
  <c r="W221" i="2" l="1"/>
  <c r="AB221" i="2" s="1"/>
  <c r="G223" i="2"/>
  <c r="N223" i="2" s="1"/>
  <c r="W222" i="2" l="1"/>
  <c r="AB222" i="2" s="1"/>
  <c r="G224" i="2"/>
  <c r="N224" i="2" s="1"/>
  <c r="W223" i="2" l="1"/>
  <c r="G225" i="2"/>
  <c r="N225" i="2" s="1"/>
  <c r="AB223" i="2" l="1"/>
  <c r="G226" i="2"/>
  <c r="N226" i="2" s="1"/>
  <c r="W224" i="2"/>
  <c r="AB224" i="2" s="1"/>
  <c r="H39" i="3" l="1"/>
  <c r="W225" i="2"/>
  <c r="AB225" i="2" s="1"/>
  <c r="G227" i="2"/>
  <c r="N227" i="2" s="1"/>
  <c r="G228" i="2" l="1"/>
  <c r="N228" i="2" s="1"/>
  <c r="W226" i="2"/>
  <c r="AB226" i="2" s="1"/>
  <c r="W227" i="2" l="1"/>
  <c r="AB227" i="2" s="1"/>
  <c r="G229" i="2"/>
  <c r="N229" i="2" s="1"/>
  <c r="W228" i="2" l="1"/>
  <c r="AB228" i="2" s="1"/>
  <c r="G230" i="2"/>
  <c r="N230" i="2" s="1"/>
  <c r="W229" i="2" l="1"/>
  <c r="AB229" i="2" l="1"/>
  <c r="G231" i="2"/>
  <c r="H40" i="3" l="1"/>
  <c r="H41" i="3" s="1"/>
  <c r="W230" i="2"/>
  <c r="AB230" i="2" s="1"/>
  <c r="N231" i="2"/>
  <c r="W231" i="2" l="1"/>
  <c r="W232" i="2" s="1"/>
  <c r="AB23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Jovany Joya Chaparro</author>
    <author>Monica Maloof Arias</author>
  </authors>
  <commentList>
    <comment ref="C16" authorId="0" shapeId="0" xr:uid="{65390D9F-D5EA-4B40-AF49-E116BCBFAA15}">
      <text>
        <r>
          <rPr>
            <b/>
            <sz val="9"/>
            <color indexed="81"/>
            <rFont val="Tahoma"/>
            <family val="2"/>
          </rPr>
          <t>Incremento anual de la matrícula proyectado IPC+2%</t>
        </r>
      </text>
    </comment>
    <comment ref="A36" authorId="1" shapeId="0" xr:uid="{00000000-0006-0000-0000-000001000000}">
      <text>
        <r>
          <rPr>
            <sz val="9"/>
            <color indexed="81"/>
            <rFont val="Tahoma"/>
            <family val="2"/>
          </rPr>
          <t>Número de meses después del periodo de gracia y del periodo de estudio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Monica Maloof Arias</author>
  </authors>
  <commentList>
    <comment ref="C6" authorId="0" shapeId="0" xr:uid="{41C5404A-CADA-4D01-BCD6-97DF286F3E80}">
      <text>
        <r>
          <rPr>
            <sz val="9"/>
            <color indexed="81"/>
            <rFont val="Tahoma"/>
            <family val="2"/>
          </rPr>
          <t>Valor de los intereses que se causan durante el periodo de estudios.  A partir de 2018 los estudiantes pueden elegir realizar este pago durante los estudios o aplazarlo para el periodo de amortización</t>
        </r>
      </text>
    </comment>
  </commentList>
</comments>
</file>

<file path=xl/sharedStrings.xml><?xml version="1.0" encoding="utf-8"?>
<sst xmlns="http://schemas.openxmlformats.org/spreadsheetml/2006/main" count="104" uniqueCount="89">
  <si>
    <t>Tu Eliges 30%</t>
  </si>
  <si>
    <t>Tu Eliges 60%</t>
  </si>
  <si>
    <t>Tu Eliges 100%</t>
  </si>
  <si>
    <t>Tasa</t>
  </si>
  <si>
    <t>Tasa con subsidio</t>
  </si>
  <si>
    <t>Subsidio de Tasa</t>
  </si>
  <si>
    <t>%  de Pago en periodo de estudios</t>
  </si>
  <si>
    <t>Supuestos Generales</t>
  </si>
  <si>
    <t>SI</t>
  </si>
  <si>
    <t>NO</t>
  </si>
  <si>
    <t>Plazo de Gracia</t>
  </si>
  <si>
    <t>Gracia</t>
  </si>
  <si>
    <t>Amortización</t>
  </si>
  <si>
    <t>Valor Semestre</t>
  </si>
  <si>
    <t>Condiciones del Crédito</t>
  </si>
  <si>
    <t>Número de semestres financiados</t>
  </si>
  <si>
    <t>Plazo amortización</t>
  </si>
  <si>
    <t>Semestres</t>
  </si>
  <si>
    <t>Periodo de Gracia</t>
  </si>
  <si>
    <t>Estudio</t>
  </si>
  <si>
    <t>Años</t>
  </si>
  <si>
    <t>Paso al Cobro</t>
  </si>
  <si>
    <t>Capital Paso al Cobro</t>
  </si>
  <si>
    <t>Int. periodo de estudio + gracia</t>
  </si>
  <si>
    <t>Mes</t>
  </si>
  <si>
    <t>Saldo Inicial LP</t>
  </si>
  <si>
    <t>Giro LP</t>
  </si>
  <si>
    <t>Saldo Final LP</t>
  </si>
  <si>
    <t>Saldo Inicial CP</t>
  </si>
  <si>
    <t>Intereses CP</t>
  </si>
  <si>
    <t>Giro CP</t>
  </si>
  <si>
    <t>Mes finalización</t>
  </si>
  <si>
    <t>Flujo Desembolsos</t>
  </si>
  <si>
    <t>meses</t>
  </si>
  <si>
    <t>Giros programados</t>
  </si>
  <si>
    <t>Periodo Amortización</t>
  </si>
  <si>
    <t>Intereses Periodo de Estudios + Gra</t>
  </si>
  <si>
    <t>Intereses Periodo amortización</t>
  </si>
  <si>
    <t>Saldo paso al cobro</t>
  </si>
  <si>
    <t>Cuadre</t>
  </si>
  <si>
    <t>Valor Estimado Desembolsos</t>
  </si>
  <si>
    <t>Abono a K durante estudios</t>
  </si>
  <si>
    <t>Cuota LP</t>
  </si>
  <si>
    <t>Saldo Final CP</t>
  </si>
  <si>
    <t>Cuota CP</t>
  </si>
  <si>
    <t>Abono a K CP</t>
  </si>
  <si>
    <t>Abono a K LP</t>
  </si>
  <si>
    <t>Amortización CP</t>
  </si>
  <si>
    <t>Saldo Total Final</t>
  </si>
  <si>
    <t>Flujo Pagos Estudiante</t>
  </si>
  <si>
    <t>Semestre</t>
  </si>
  <si>
    <t>Cuota mes periodo de estudio</t>
  </si>
  <si>
    <t>Cuota periodo de amortización</t>
  </si>
  <si>
    <t>Pago de intereses</t>
  </si>
  <si>
    <t>Cuota por millón amortización</t>
  </si>
  <si>
    <t>Condonación por graduación</t>
  </si>
  <si>
    <t>Condonación 25%</t>
  </si>
  <si>
    <t>Abono a Capital</t>
  </si>
  <si>
    <t>Pagos de Matrícula</t>
  </si>
  <si>
    <t>Intereses del crédito</t>
  </si>
  <si>
    <t>Subsidio de tasa</t>
  </si>
  <si>
    <t>Subsidio a la tasa</t>
  </si>
  <si>
    <t>Pago i en periodo de estudio</t>
  </si>
  <si>
    <t>Intereses causados</t>
  </si>
  <si>
    <t>Intereses pagados Estudiante</t>
  </si>
  <si>
    <t>Cuota</t>
  </si>
  <si>
    <t>Plazo para pago de intereses</t>
  </si>
  <si>
    <t>Línea de Crédito</t>
  </si>
  <si>
    <t>Posgrado Exterior</t>
  </si>
  <si>
    <t>Idiomas, pasantías</t>
  </si>
  <si>
    <t>Tasa de Interés E.A</t>
  </si>
  <si>
    <t>Tasa de interés N.A.M.V</t>
  </si>
  <si>
    <t>Cifras en</t>
  </si>
  <si>
    <t>pesos</t>
  </si>
  <si>
    <t>Intereses causados en estudio</t>
  </si>
  <si>
    <t>miles de $</t>
  </si>
  <si>
    <t>Flujo de Pago del Estudiante</t>
  </si>
  <si>
    <r>
      <rPr>
        <b/>
        <sz val="11"/>
        <color theme="1"/>
        <rFont val="Calibri"/>
        <family val="2"/>
        <scheme val="minor"/>
      </rPr>
      <t xml:space="preserve">Nota: </t>
    </r>
    <r>
      <rPr>
        <sz val="11"/>
        <color theme="1"/>
        <rFont val="Calibri"/>
        <family val="2"/>
        <scheme val="minor"/>
      </rPr>
      <t>Los resultados que arroja este simulador son una proyección aproximada que no comprometen a ICETEX a mantener las condiciones de plazo, tasa o monto de la deuda, entre otras. No comprenden las primas de seguros, costos de transacción ni cualquier otro costo que pueda generar el crédito. Tampoco implica la obligación para la entidad de otorgar efectivamente la operación simulada.  Los valores reales al momento de otorgar el crédito podrán ser modificados de conformidad con la variación de las tasas de interés.</t>
    </r>
  </si>
  <si>
    <t>Tasa de Interés indexada</t>
  </si>
  <si>
    <t>IPC año anterior E.A.</t>
  </si>
  <si>
    <t>Incremento anual matrículas (IPC+2%)</t>
  </si>
  <si>
    <t>Tasa de Interés Mes Vencido</t>
  </si>
  <si>
    <r>
      <rPr>
        <b/>
        <sz val="11"/>
        <color theme="1"/>
        <rFont val="Calibri"/>
        <family val="2"/>
        <scheme val="minor"/>
      </rPr>
      <t xml:space="preserve">Nota: </t>
    </r>
    <r>
      <rPr>
        <sz val="11"/>
        <color theme="1"/>
        <rFont val="Calibri"/>
        <family val="2"/>
        <scheme val="minor"/>
      </rPr>
      <t>Los resultados que arroja este simulador son una proyección aproximada que no comprometen a ICETEX a mantener las condiciones de plazo, tasa o monto de la deuda, entre otras. No comprenden el Aporte de Invalidez y muerte- AFIM, costos de transacción ni cualquier otro costo que pueda generar el crédito. Tampoco implica la obligación para la entidad de otorgar efectivamente la operación simulada.  Los valores reales al momento de otorgar el crédito podrán ser modificados de conformidad con la variación de las tasas de interés.</t>
    </r>
  </si>
  <si>
    <t>Puntos</t>
  </si>
  <si>
    <t>P. Gracia</t>
  </si>
  <si>
    <t>Posgrado País - Medicina</t>
  </si>
  <si>
    <t>Posgrado país</t>
  </si>
  <si>
    <t>Posgrado País  40% con y sin DS</t>
  </si>
  <si>
    <t>Línea Educ. para el Trabajo y el Desarrollo Humano (ETDH)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</si>
</sst>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64" formatCode="&quot;$&quot;#,##0;[Red]\-&quot;$&quot;#,##0"/>
    <numFmt numFmtId="165" formatCode="_-&quot;$&quot;* #,##0_-;\-&quot;$&quot;* #,##0_-;_-&quot;$&quot;* &quot;-&quot;_-;_-@_-"/>
    <numFmt numFmtId="166" formatCode="0\ &quot;meses&quot;"/>
    <numFmt numFmtId="167" formatCode="#,##0_ ;\-#,##0\ "/>
    <numFmt numFmtId="168" formatCode="&quot;Semestre&quot;\ 0"/>
    <numFmt numFmtId="169" formatCode="&quot;mes&quot;\ 0"/>
    <numFmt numFmtId="170" formatCode="_-* #,##0.0_-;\-* #,##0.0_-;_-* &quot;-&quot;_-;_-@_-"/>
    <numFmt numFmtId="171" formatCode="&quot;$&quot;#,##0.0;[Red]\-&quot;$&quot;#,##0.0"/>
    <numFmt numFmtId="172" formatCode="0.0%"/>
    <numFmt numFmtId="173" formatCode=";;"/>
  </numFmts>
  <fonts count="14"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9"/>
      <color indexed="81"/>
      <name val="Tahoma"/>
      <family val="2"/>
    </font>
    <font>
      <b/>
      <sz val="9"/>
      <color indexed="81"/>
      <name val="Tahoma"/>
      <family val="2"/>
    </font>
    <font>
      <sz val="10"/>
      <color theme="1"/>
      <name val="Calibri"/>
      <family val="2"/>
      <scheme val="minor"/>
    </font>
    <font>
      <sz val="9"/>
      <color theme="0"/>
      <name val="Calibri"/>
      <family val="2"/>
      <scheme val="minor"/>
    </font>
    <font>
      <b/>
      <sz val="16"/>
      <color rgb="FF002060"/>
      <name val="Calibri"/>
      <family val="2"/>
      <scheme val="minor"/>
    </font>
    <font>
      <b/>
      <sz val="14"/>
      <color theme="1"/>
      <name val="Calibri"/>
      <family val="2"/>
      <scheme val="minor"/>
    </font>
    <font>
      <b/>
      <sz val="10"/>
      <color theme="1"/>
      <name val="Calibri"/>
      <family val="2"/>
      <scheme val="minor"/>
    </font>
    <font>
      <sz val="12"/>
      <color theme="1"/>
      <name val="Calibri"/>
      <family val="2"/>
      <scheme val="minor"/>
    </font>
  </fonts>
  <fills count="13">
    <fill>
      <patternFill patternType="none"/>
    </fill>
    <fill>
      <patternFill patternType="gray125"/>
    </fill>
    <fill>
      <patternFill patternType="solid">
        <fgColor theme="0" tint="-4.9989318521683403E-2"/>
        <bgColor indexed="64"/>
      </patternFill>
    </fill>
    <fill>
      <patternFill patternType="solid">
        <fgColor rgb="FF002060"/>
        <bgColor indexed="64"/>
      </patternFill>
    </fill>
    <fill>
      <patternFill patternType="solid">
        <fgColor theme="4" tint="-0.499984740745262"/>
        <bgColor indexed="64"/>
      </patternFill>
    </fill>
    <fill>
      <patternFill patternType="solid">
        <fgColor rgb="FF00B050"/>
        <bgColor indexed="64"/>
      </patternFill>
    </fill>
    <fill>
      <patternFill patternType="solid">
        <fgColor theme="0"/>
        <bgColor indexed="64"/>
      </patternFill>
    </fill>
    <fill>
      <patternFill patternType="solid">
        <fgColor theme="4"/>
        <bgColor theme="4"/>
      </patternFill>
    </fill>
    <fill>
      <patternFill patternType="solid">
        <fgColor theme="8" tint="-0.249977111117893"/>
        <bgColor theme="4"/>
      </patternFill>
    </fill>
    <fill>
      <patternFill patternType="solid">
        <fgColor theme="8" tint="-0.249977111117893"/>
        <bgColor indexed="64"/>
      </patternFill>
    </fill>
    <fill>
      <patternFill patternType="solid">
        <fgColor theme="2"/>
        <bgColor indexed="64"/>
      </patternFill>
    </fill>
    <fill>
      <patternFill patternType="solid">
        <fgColor theme="4" tint="0.59999389629810485"/>
        <bgColor indexed="64"/>
      </patternFill>
    </fill>
    <fill>
      <patternFill patternType="solid">
        <fgColor rgb="FF92D050"/>
        <bgColor indexed="64"/>
      </patternFill>
    </fill>
  </fills>
  <borders count="14">
    <border>
      <left/>
      <right/>
      <top/>
      <bottom/>
      <diagonal/>
    </border>
    <border>
      <left/>
      <right style="medium">
        <color rgb="FF002060"/>
      </right>
      <top/>
      <bottom style="thick">
        <color rgb="FF002060"/>
      </bottom>
      <diagonal/>
    </border>
    <border>
      <left/>
      <right/>
      <top/>
      <bottom style="thick">
        <color rgb="FF002060"/>
      </bottom>
      <diagonal/>
    </border>
    <border>
      <left style="thin">
        <color rgb="FF002060"/>
      </left>
      <right style="thin">
        <color rgb="FF002060"/>
      </right>
      <top style="thin">
        <color rgb="FF002060"/>
      </top>
      <bottom style="thin">
        <color rgb="FF002060"/>
      </bottom>
      <diagonal/>
    </border>
    <border>
      <left style="medium">
        <color rgb="FF002060"/>
      </left>
      <right/>
      <top style="medium">
        <color rgb="FF002060"/>
      </top>
      <bottom/>
      <diagonal/>
    </border>
    <border>
      <left/>
      <right/>
      <top style="medium">
        <color rgb="FF002060"/>
      </top>
      <bottom/>
      <diagonal/>
    </border>
    <border>
      <left/>
      <right style="medium">
        <color rgb="FF002060"/>
      </right>
      <top style="medium">
        <color rgb="FF002060"/>
      </top>
      <bottom/>
      <diagonal/>
    </border>
    <border>
      <left style="medium">
        <color rgb="FF002060"/>
      </left>
      <right/>
      <top/>
      <bottom/>
      <diagonal/>
    </border>
    <border>
      <left/>
      <right style="medium">
        <color rgb="FF002060"/>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41" fontId="1"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cellStyleXfs>
  <cellXfs count="94">
    <xf numFmtId="0" fontId="0" fillId="0" borderId="0" xfId="0"/>
    <xf numFmtId="41" fontId="0" fillId="0" borderId="0" xfId="1" applyFont="1"/>
    <xf numFmtId="0" fontId="5" fillId="3" borderId="0" xfId="0" applyFont="1" applyFill="1"/>
    <xf numFmtId="0" fontId="0" fillId="0" borderId="4" xfId="0" applyBorder="1"/>
    <xf numFmtId="0" fontId="0" fillId="0" borderId="5" xfId="0" applyBorder="1"/>
    <xf numFmtId="0" fontId="0" fillId="0" borderId="6" xfId="0" applyBorder="1"/>
    <xf numFmtId="0" fontId="0" fillId="0" borderId="7" xfId="0" applyBorder="1" applyAlignment="1">
      <alignment horizontal="right"/>
    </xf>
    <xf numFmtId="0" fontId="0" fillId="0" borderId="8" xfId="0" applyBorder="1"/>
    <xf numFmtId="0" fontId="0" fillId="0" borderId="7" xfId="0" applyBorder="1"/>
    <xf numFmtId="167" fontId="5" fillId="6" borderId="0" xfId="0" applyNumberFormat="1" applyFont="1" applyFill="1"/>
    <xf numFmtId="0" fontId="8" fillId="0" borderId="0" xfId="0" applyFont="1"/>
    <xf numFmtId="0" fontId="8" fillId="0" borderId="3" xfId="0" applyFont="1" applyBorder="1" applyAlignment="1">
      <alignment horizontal="center" vertical="center"/>
    </xf>
    <xf numFmtId="0" fontId="8" fillId="0" borderId="0" xfId="0" applyFont="1" applyAlignment="1">
      <alignment horizontal="center" vertical="center"/>
    </xf>
    <xf numFmtId="167" fontId="4" fillId="0" borderId="0" xfId="0" applyNumberFormat="1" applyFont="1"/>
    <xf numFmtId="165" fontId="0" fillId="2" borderId="0" xfId="2" applyFont="1" applyFill="1" applyBorder="1" applyAlignment="1">
      <alignment horizontal="center"/>
    </xf>
    <xf numFmtId="10" fontId="0" fillId="0" borderId="0" xfId="0" applyNumberFormat="1"/>
    <xf numFmtId="41" fontId="0" fillId="0" borderId="0" xfId="0" applyNumberFormat="1"/>
    <xf numFmtId="165" fontId="0" fillId="0" borderId="0" xfId="2" applyFont="1"/>
    <xf numFmtId="165" fontId="3" fillId="0" borderId="0" xfId="2" applyFont="1"/>
    <xf numFmtId="41" fontId="3" fillId="0" borderId="0" xfId="1" applyFont="1"/>
    <xf numFmtId="165" fontId="0" fillId="0" borderId="0" xfId="0" applyNumberFormat="1"/>
    <xf numFmtId="164" fontId="0" fillId="0" borderId="0" xfId="2" applyNumberFormat="1" applyFont="1"/>
    <xf numFmtId="0" fontId="2" fillId="7" borderId="9" xfId="0" applyFont="1" applyFill="1" applyBorder="1" applyAlignment="1">
      <alignment vertical="center"/>
    </xf>
    <xf numFmtId="0" fontId="2" fillId="7" borderId="10" xfId="0" applyFont="1" applyFill="1" applyBorder="1" applyAlignment="1">
      <alignment horizontal="center" vertical="center" wrapText="1"/>
    </xf>
    <xf numFmtId="0" fontId="2" fillId="7" borderId="10" xfId="0" applyFont="1" applyFill="1" applyBorder="1" applyAlignment="1">
      <alignment horizontal="center" vertical="center"/>
    </xf>
    <xf numFmtId="0" fontId="2" fillId="5" borderId="10" xfId="0" applyFont="1" applyFill="1" applyBorder="1" applyAlignment="1">
      <alignment horizontal="center" vertical="center" wrapText="1"/>
    </xf>
    <xf numFmtId="0" fontId="2" fillId="5" borderId="10" xfId="0" applyFont="1" applyFill="1" applyBorder="1" applyAlignment="1">
      <alignment horizontal="center" vertical="center"/>
    </xf>
    <xf numFmtId="0" fontId="2" fillId="8" borderId="10" xfId="0" applyFont="1" applyFill="1" applyBorder="1" applyAlignment="1">
      <alignment horizontal="center" vertical="center"/>
    </xf>
    <xf numFmtId="0" fontId="0" fillId="0" borderId="0" xfId="0" applyAlignment="1">
      <alignment vertical="center"/>
    </xf>
    <xf numFmtId="0" fontId="2" fillId="8" borderId="10" xfId="0" applyFont="1" applyFill="1" applyBorder="1" applyAlignment="1">
      <alignment horizontal="center" vertical="center" wrapText="1"/>
    </xf>
    <xf numFmtId="0" fontId="5" fillId="4" borderId="0" xfId="0" applyFont="1" applyFill="1"/>
    <xf numFmtId="41" fontId="5" fillId="4" borderId="0" xfId="0" applyNumberFormat="1" applyFont="1" applyFill="1"/>
    <xf numFmtId="10" fontId="5" fillId="4" borderId="0" xfId="0" applyNumberFormat="1" applyFont="1" applyFill="1"/>
    <xf numFmtId="165" fontId="5" fillId="4" borderId="0" xfId="0" applyNumberFormat="1" applyFont="1" applyFill="1"/>
    <xf numFmtId="0" fontId="2" fillId="9" borderId="0" xfId="0" applyFont="1" applyFill="1" applyAlignment="1">
      <alignment horizontal="center" vertical="center" wrapText="1"/>
    </xf>
    <xf numFmtId="164" fontId="0" fillId="0" borderId="0" xfId="0" applyNumberFormat="1"/>
    <xf numFmtId="0" fontId="5" fillId="0" borderId="0" xfId="0" applyFont="1" applyAlignment="1">
      <alignment horizontal="right"/>
    </xf>
    <xf numFmtId="0" fontId="9" fillId="0" borderId="0" xfId="0" applyFont="1" applyAlignment="1">
      <alignment horizontal="center" vertical="center"/>
    </xf>
    <xf numFmtId="0" fontId="0" fillId="2" borderId="0" xfId="0" applyFill="1"/>
    <xf numFmtId="0" fontId="10" fillId="0" borderId="0" xfId="0" applyFont="1"/>
    <xf numFmtId="0" fontId="4" fillId="10" borderId="2" xfId="0" applyFont="1" applyFill="1" applyBorder="1" applyAlignment="1">
      <alignment horizontal="centerContinuous"/>
    </xf>
    <xf numFmtId="0" fontId="0" fillId="10" borderId="2" xfId="0" applyFill="1" applyBorder="1" applyAlignment="1">
      <alignment horizontal="centerContinuous"/>
    </xf>
    <xf numFmtId="0" fontId="0" fillId="10" borderId="1" xfId="0" applyFill="1" applyBorder="1" applyAlignment="1">
      <alignment horizontal="centerContinuous"/>
    </xf>
    <xf numFmtId="0" fontId="8" fillId="0" borderId="0" xfId="0" applyFont="1" applyAlignment="1">
      <alignment horizontal="center"/>
    </xf>
    <xf numFmtId="0" fontId="0" fillId="0" borderId="0" xfId="0" applyProtection="1">
      <protection locked="0"/>
    </xf>
    <xf numFmtId="0" fontId="0" fillId="2" borderId="1" xfId="0" applyFill="1" applyBorder="1" applyProtection="1">
      <protection locked="0"/>
    </xf>
    <xf numFmtId="0" fontId="0" fillId="2" borderId="1" xfId="0" applyFill="1" applyBorder="1" applyAlignment="1" applyProtection="1">
      <alignment horizontal="center"/>
      <protection locked="0"/>
    </xf>
    <xf numFmtId="165" fontId="0" fillId="2" borderId="1" xfId="2" applyFont="1" applyFill="1" applyBorder="1" applyAlignment="1" applyProtection="1">
      <alignment horizontal="center"/>
      <protection locked="0"/>
    </xf>
    <xf numFmtId="10" fontId="0" fillId="2" borderId="1" xfId="3" applyNumberFormat="1" applyFont="1" applyFill="1" applyBorder="1" applyAlignment="1" applyProtection="1">
      <alignment horizontal="center"/>
      <protection locked="0"/>
    </xf>
    <xf numFmtId="167" fontId="0" fillId="2" borderId="1" xfId="1" applyNumberFormat="1" applyFont="1" applyFill="1" applyBorder="1" applyAlignment="1" applyProtection="1">
      <alignment horizontal="center" vertical="center"/>
      <protection locked="0"/>
    </xf>
    <xf numFmtId="0" fontId="0" fillId="0" borderId="0" xfId="0" applyProtection="1">
      <protection hidden="1"/>
    </xf>
    <xf numFmtId="0" fontId="4" fillId="0" borderId="2" xfId="0" applyFont="1" applyBorder="1" applyAlignment="1" applyProtection="1">
      <alignment horizontal="centerContinuous"/>
      <protection hidden="1"/>
    </xf>
    <xf numFmtId="0" fontId="0" fillId="0" borderId="2" xfId="0" applyBorder="1" applyAlignment="1" applyProtection="1">
      <alignment horizontal="centerContinuous"/>
      <protection hidden="1"/>
    </xf>
    <xf numFmtId="0" fontId="0" fillId="0" borderId="1" xfId="0" applyBorder="1" applyAlignment="1" applyProtection="1">
      <alignment horizontal="centerContinuous"/>
      <protection hidden="1"/>
    </xf>
    <xf numFmtId="0" fontId="0" fillId="2" borderId="0" xfId="0" applyFill="1" applyAlignment="1" applyProtection="1">
      <alignment wrapText="1"/>
      <protection hidden="1"/>
    </xf>
    <xf numFmtId="9" fontId="0" fillId="2" borderId="0" xfId="3" applyFont="1" applyFill="1" applyAlignment="1" applyProtection="1">
      <alignment horizontal="center" vertical="center"/>
      <protection hidden="1"/>
    </xf>
    <xf numFmtId="166" fontId="0" fillId="2" borderId="0" xfId="0" applyNumberFormat="1" applyFill="1" applyAlignment="1" applyProtection="1">
      <alignment horizontal="center"/>
      <protection hidden="1"/>
    </xf>
    <xf numFmtId="168" fontId="0" fillId="2" borderId="0" xfId="0" applyNumberFormat="1" applyFill="1" applyAlignment="1" applyProtection="1">
      <alignment horizontal="center"/>
      <protection hidden="1"/>
    </xf>
    <xf numFmtId="169" fontId="0" fillId="2" borderId="0" xfId="0" applyNumberFormat="1" applyFill="1" applyAlignment="1" applyProtection="1">
      <alignment horizontal="center"/>
      <protection hidden="1"/>
    </xf>
    <xf numFmtId="165" fontId="0" fillId="2" borderId="0" xfId="2" applyFont="1" applyFill="1" applyBorder="1" applyAlignment="1" applyProtection="1">
      <alignment horizontal="center"/>
      <protection hidden="1"/>
    </xf>
    <xf numFmtId="10" fontId="0" fillId="2" borderId="1" xfId="3" applyNumberFormat="1" applyFont="1" applyFill="1" applyBorder="1" applyAlignment="1" applyProtection="1">
      <alignment horizontal="center" vertical="center"/>
      <protection hidden="1"/>
    </xf>
    <xf numFmtId="0" fontId="0" fillId="0" borderId="0" xfId="0" applyAlignment="1" applyProtection="1">
      <alignment vertical="top" wrapText="1"/>
      <protection hidden="1"/>
    </xf>
    <xf numFmtId="0" fontId="11" fillId="0" borderId="0" xfId="0" applyFont="1" applyProtection="1">
      <protection hidden="1"/>
    </xf>
    <xf numFmtId="173" fontId="5" fillId="0" borderId="0" xfId="0" applyNumberFormat="1" applyFont="1" applyProtection="1">
      <protection hidden="1"/>
    </xf>
    <xf numFmtId="173" fontId="0" fillId="0" borderId="0" xfId="0" applyNumberFormat="1" applyProtection="1">
      <protection hidden="1"/>
    </xf>
    <xf numFmtId="0" fontId="2" fillId="9" borderId="0" xfId="0" applyFont="1" applyFill="1" applyAlignment="1" applyProtection="1">
      <alignment horizontal="center" vertical="center" wrapText="1"/>
      <protection hidden="1"/>
    </xf>
    <xf numFmtId="0" fontId="2" fillId="0" borderId="0" xfId="0" applyFont="1" applyAlignment="1" applyProtection="1">
      <alignment horizontal="center" vertical="center" wrapText="1"/>
      <protection hidden="1"/>
    </xf>
    <xf numFmtId="0" fontId="0" fillId="10" borderId="0" xfId="0" applyFill="1" applyProtection="1">
      <protection hidden="1"/>
    </xf>
    <xf numFmtId="164" fontId="0" fillId="0" borderId="0" xfId="0" applyNumberFormat="1" applyProtection="1">
      <protection hidden="1"/>
    </xf>
    <xf numFmtId="164" fontId="0" fillId="10" borderId="0" xfId="0" applyNumberFormat="1" applyFill="1" applyProtection="1">
      <protection hidden="1"/>
    </xf>
    <xf numFmtId="171" fontId="0" fillId="0" borderId="0" xfId="0" applyNumberFormat="1" applyProtection="1">
      <protection hidden="1"/>
    </xf>
    <xf numFmtId="172" fontId="0" fillId="0" borderId="0" xfId="3" applyNumberFormat="1" applyFont="1" applyProtection="1">
      <protection hidden="1"/>
    </xf>
    <xf numFmtId="41" fontId="0" fillId="0" borderId="0" xfId="0" applyNumberFormat="1" applyProtection="1">
      <protection hidden="1"/>
    </xf>
    <xf numFmtId="165" fontId="0" fillId="0" borderId="0" xfId="0" applyNumberFormat="1" applyProtection="1">
      <protection hidden="1"/>
    </xf>
    <xf numFmtId="10" fontId="0" fillId="0" borderId="0" xfId="3" applyNumberFormat="1" applyFont="1"/>
    <xf numFmtId="10" fontId="0" fillId="11" borderId="0" xfId="3" applyNumberFormat="1" applyFont="1" applyFill="1" applyBorder="1" applyAlignment="1" applyProtection="1">
      <alignment horizontal="center"/>
      <protection hidden="1"/>
    </xf>
    <xf numFmtId="0" fontId="0" fillId="11" borderId="0" xfId="0" applyFill="1" applyAlignment="1" applyProtection="1">
      <alignment wrapText="1"/>
      <protection hidden="1"/>
    </xf>
    <xf numFmtId="10" fontId="4" fillId="11" borderId="0" xfId="3" applyNumberFormat="1" applyFont="1" applyFill="1" applyBorder="1" applyAlignment="1" applyProtection="1">
      <alignment horizontal="center"/>
      <protection hidden="1"/>
    </xf>
    <xf numFmtId="0" fontId="4" fillId="11" borderId="0" xfId="0" applyFont="1" applyFill="1" applyAlignment="1" applyProtection="1">
      <alignment wrapText="1"/>
      <protection hidden="1"/>
    </xf>
    <xf numFmtId="0" fontId="4" fillId="0" borderId="7" xfId="0" applyFont="1" applyBorder="1" applyAlignment="1">
      <alignment horizontal="right"/>
    </xf>
    <xf numFmtId="0" fontId="4" fillId="0" borderId="7" xfId="0" applyFont="1" applyBorder="1"/>
    <xf numFmtId="0" fontId="13" fillId="0" borderId="0" xfId="0" applyFont="1"/>
    <xf numFmtId="0" fontId="13" fillId="0" borderId="0" xfId="0" applyFont="1" applyAlignment="1">
      <alignment horizontal="right"/>
    </xf>
    <xf numFmtId="41" fontId="13" fillId="12" borderId="0" xfId="1" applyFont="1" applyFill="1"/>
    <xf numFmtId="170" fontId="13" fillId="12" borderId="0" xfId="1" applyNumberFormat="1" applyFont="1" applyFill="1"/>
    <xf numFmtId="9" fontId="13" fillId="12" borderId="0" xfId="0" applyNumberFormat="1" applyFont="1" applyFill="1"/>
    <xf numFmtId="0" fontId="13" fillId="12" borderId="0" xfId="0" applyFont="1" applyFill="1"/>
    <xf numFmtId="0" fontId="12" fillId="0" borderId="0" xfId="0" applyFont="1" applyAlignment="1">
      <alignment horizontal="center"/>
    </xf>
    <xf numFmtId="0" fontId="12" fillId="2" borderId="0" xfId="0" applyFont="1" applyFill="1" applyAlignment="1">
      <alignment horizontal="center"/>
    </xf>
    <xf numFmtId="0" fontId="0" fillId="0" borderId="0" xfId="0" applyAlignment="1">
      <alignment horizontal="left" vertical="center" wrapText="1"/>
    </xf>
    <xf numFmtId="0" fontId="4" fillId="10" borderId="0" xfId="0" applyFont="1" applyFill="1" applyAlignment="1" applyProtection="1">
      <alignment horizontal="center"/>
      <protection hidden="1"/>
    </xf>
    <xf numFmtId="0" fontId="0" fillId="0" borderId="11" xfId="0" applyBorder="1" applyAlignment="1" applyProtection="1">
      <alignment horizontal="left" vertical="top" wrapText="1"/>
      <protection hidden="1"/>
    </xf>
    <xf numFmtId="0" fontId="0" fillId="0" borderId="12" xfId="0" applyBorder="1" applyAlignment="1" applyProtection="1">
      <alignment horizontal="left" vertical="top" wrapText="1"/>
      <protection hidden="1"/>
    </xf>
    <xf numFmtId="0" fontId="0" fillId="0" borderId="13" xfId="0" applyBorder="1" applyAlignment="1" applyProtection="1">
      <alignment horizontal="left" vertical="top" wrapText="1"/>
      <protection hidden="1"/>
    </xf>
  </cellXfs>
  <cellStyles count="4">
    <cellStyle name="Millares [0]" xfId="1" builtinId="6"/>
    <cellStyle name="Moneda [0]" xfId="2" builtinId="7"/>
    <cellStyle name="Normal" xfId="0" builtinId="0"/>
    <cellStyle name="Porcentaje" xfId="3" builtinId="5"/>
  </cellStyles>
  <dxfs count="8">
    <dxf>
      <font>
        <color theme="8" tint="-0.499984740745262"/>
      </font>
      <fill>
        <patternFill>
          <bgColor theme="8" tint="-0.499984740745262"/>
        </patternFill>
      </fill>
    </dxf>
    <dxf>
      <font>
        <color theme="0"/>
      </font>
      <fill>
        <patternFill patternType="none">
          <bgColor auto="1"/>
        </patternFill>
      </fill>
    </dxf>
    <dxf>
      <font>
        <color theme="8" tint="-0.499984740745262"/>
      </font>
      <fill>
        <patternFill>
          <bgColor theme="8" tint="-0.499984740745262"/>
        </patternFill>
      </fill>
    </dxf>
    <dxf>
      <font>
        <color theme="0"/>
      </font>
      <fill>
        <patternFill patternType="none">
          <bgColor auto="1"/>
        </patternFill>
      </fill>
    </dxf>
    <dxf>
      <font>
        <color theme="8" tint="-0.499984740745262"/>
      </font>
      <fill>
        <patternFill>
          <bgColor theme="8" tint="-0.499984740745262"/>
        </patternFill>
      </fill>
    </dxf>
    <dxf>
      <font>
        <color theme="0"/>
      </font>
      <fill>
        <patternFill patternType="none">
          <bgColor auto="1"/>
        </patternFill>
      </fill>
    </dxf>
    <dxf>
      <font>
        <color theme="8" tint="-0.499984740745262"/>
      </font>
      <fill>
        <patternFill>
          <bgColor theme="8" tint="-0.499984740745262"/>
        </patternFill>
      </fill>
    </dxf>
    <dxf>
      <font>
        <color theme="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s>

</file>

<file path=xl/charts/_rels/chart1.xml.rels><?xml version="1.0" encoding="UTF-8" standalone="no"?>
<Relationships xmlns="http://schemas.openxmlformats.org/package/2006/relationships">
<Relationship Id="rId1" Target="style1.xml" Type="http://schemas.microsoft.com/office/2011/relationships/chartStyle"/>
<Relationship Id="rId2" Target="colors1.xml" Type="http://schemas.microsoft.com/office/2011/relationships/chartColorStyle"/>
<Relationship Id="rId3" Target="../drawings/drawing2.xml" Type="http://schemas.openxmlformats.org/officeDocument/2006/relationships/chartUserShapes"/>
</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s-CO" sz="1600" b="1"/>
              <a:t>Flujo d</a:t>
            </a:r>
            <a:r>
              <a:rPr lang="es-CO" sz="1600" b="1" baseline="0"/>
              <a:t>el estudiante</a:t>
            </a:r>
            <a:endParaRPr lang="es-CO" sz="1600" b="1"/>
          </a:p>
        </c:rich>
      </c:tx>
      <c:layout>
        <c:manualLayout>
          <c:xMode val="edge"/>
          <c:yMode val="edge"/>
          <c:x val="0.41805946353383167"/>
          <c:y val="1.3021164474718421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manualLayout>
          <c:layoutTarget val="inner"/>
          <c:xMode val="edge"/>
          <c:yMode val="edge"/>
          <c:x val="9.7043487724915473E-2"/>
          <c:y val="0.16254999250258137"/>
          <c:w val="0.88955007369713357"/>
          <c:h val="0.60483045325483908"/>
        </c:manualLayout>
      </c:layout>
      <c:barChart>
        <c:barDir val="col"/>
        <c:grouping val="stacked"/>
        <c:varyColors val="0"/>
        <c:ser>
          <c:idx val="1"/>
          <c:order val="0"/>
          <c:tx>
            <c:strRef>
              <c:f>Graf!$B$2</c:f>
              <c:strCache>
                <c:ptCount val="1"/>
                <c:pt idx="0">
                  <c:v>Pagos de Matrícula</c:v>
                </c:pt>
              </c:strCache>
            </c:strRef>
          </c:tx>
          <c:spPr>
            <a:solidFill>
              <a:srgbClr val="002060"/>
            </a:solidFill>
            <a:ln>
              <a:noFill/>
            </a:ln>
            <a:effectLst/>
          </c:spPr>
          <c:invertIfNegative val="0"/>
          <c:cat>
            <c:numRef>
              <c:f>Graf!$A$3:$A$40</c:f>
              <c:numCache>
                <c:formatCode>General</c:formatCode>
                <c:ptCount val="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numCache>
            </c:numRef>
          </c:cat>
          <c:val>
            <c:numRef>
              <c:f>Graf!$B$3:$B$40</c:f>
              <c:numCache>
                <c:formatCode>_(* #,##0_);_(* \(#,##0\);_(* "-"_);_(@_)</c:formatCode>
                <c:ptCount val="38"/>
                <c:pt idx="0">
                  <c:v>5000000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numCache>
            </c:numRef>
          </c:val>
          <c:extLst>
            <c:ext xmlns:c16="http://schemas.microsoft.com/office/drawing/2014/chart" uri="{C3380CC4-5D6E-409C-BE32-E72D297353CC}">
              <c16:uniqueId val="{00000000-0967-49E4-986E-E180F70160A0}"/>
            </c:ext>
          </c:extLst>
        </c:ser>
        <c:ser>
          <c:idx val="2"/>
          <c:order val="1"/>
          <c:tx>
            <c:strRef>
              <c:f>Graf!$D$2</c:f>
              <c:strCache>
                <c:ptCount val="1"/>
                <c:pt idx="0">
                  <c:v>Intereses del crédito</c:v>
                </c:pt>
              </c:strCache>
            </c:strRef>
          </c:tx>
          <c:spPr>
            <a:solidFill>
              <a:schemeClr val="bg1">
                <a:lumMod val="50000"/>
              </a:schemeClr>
            </a:solidFill>
            <a:ln>
              <a:noFill/>
            </a:ln>
            <a:effectLst/>
          </c:spPr>
          <c:invertIfNegative val="0"/>
          <c:cat>
            <c:numRef>
              <c:f>Graf!$A$3:$A$40</c:f>
              <c:numCache>
                <c:formatCode>General</c:formatCode>
                <c:ptCount val="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numCache>
            </c:numRef>
          </c:cat>
          <c:val>
            <c:numRef>
              <c:f>Graf!$D$3:$D$40</c:f>
              <c:numCache>
                <c:formatCode>_-"$"* #,##0_-;\-"$"* #,##0_-;_-"$"* "-"_-;_-@_-</c:formatCode>
                <c:ptCount val="38"/>
                <c:pt idx="0">
                  <c:v>60796.156089898919</c:v>
                </c:pt>
                <c:pt idx="1">
                  <c:v>188119.99982553444</c:v>
                </c:pt>
                <c:pt idx="2">
                  <c:v>29705.171733600153</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numCache>
            </c:numRef>
          </c:val>
          <c:extLst>
            <c:ext xmlns:c16="http://schemas.microsoft.com/office/drawing/2014/chart" uri="{C3380CC4-5D6E-409C-BE32-E72D297353CC}">
              <c16:uniqueId val="{00000001-0967-49E4-986E-E180F70160A0}"/>
            </c:ext>
          </c:extLst>
        </c:ser>
        <c:ser>
          <c:idx val="3"/>
          <c:order val="2"/>
          <c:tx>
            <c:strRef>
              <c:f>Graf!$F$2</c:f>
              <c:strCache>
                <c:ptCount val="1"/>
                <c:pt idx="0">
                  <c:v>Abono a Capital</c:v>
                </c:pt>
              </c:strCache>
            </c:strRef>
          </c:tx>
          <c:spPr>
            <a:solidFill>
              <a:srgbClr val="92D050"/>
            </a:solidFill>
            <a:ln>
              <a:noFill/>
            </a:ln>
            <a:effectLst/>
          </c:spPr>
          <c:invertIfNegative val="0"/>
          <c:cat>
            <c:numRef>
              <c:f>Graf!$A$3:$A$40</c:f>
              <c:numCache>
                <c:formatCode>General</c:formatCode>
                <c:ptCount val="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numCache>
            </c:numRef>
          </c:cat>
          <c:val>
            <c:numRef>
              <c:f>Graf!$F$3:$F$40</c:f>
              <c:numCache>
                <c:formatCode>"$"#,##0;[Red]\-"$"#,##0</c:formatCode>
                <c:ptCount val="38"/>
                <c:pt idx="0">
                  <c:v>-1500000.0000000002</c:v>
                </c:pt>
                <c:pt idx="1">
                  <c:v>-2451026.8745472217</c:v>
                </c:pt>
                <c:pt idx="2">
                  <c:v>-1289868.265452778</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numCache>
            </c:numRef>
          </c:val>
          <c:extLst>
            <c:ext xmlns:c16="http://schemas.microsoft.com/office/drawing/2014/chart" uri="{C3380CC4-5D6E-409C-BE32-E72D297353CC}">
              <c16:uniqueId val="{00000002-0967-49E4-986E-E180F70160A0}"/>
            </c:ext>
          </c:extLst>
        </c:ser>
        <c:ser>
          <c:idx val="4"/>
          <c:order val="3"/>
          <c:tx>
            <c:strRef>
              <c:f>Graf!$G$2</c:f>
              <c:strCache>
                <c:ptCount val="1"/>
                <c:pt idx="0">
                  <c:v>Pago de intereses</c:v>
                </c:pt>
              </c:strCache>
            </c:strRef>
          </c:tx>
          <c:spPr>
            <a:solidFill>
              <a:schemeClr val="accent5"/>
            </a:solidFill>
            <a:ln>
              <a:noFill/>
            </a:ln>
            <a:effectLst/>
          </c:spPr>
          <c:invertIfNegative val="0"/>
          <c:cat>
            <c:numRef>
              <c:f>Graf!$A$3:$A$40</c:f>
              <c:numCache>
                <c:formatCode>General</c:formatCode>
                <c:ptCount val="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numCache>
            </c:numRef>
          </c:cat>
          <c:val>
            <c:numRef>
              <c:f>Graf!$G$3:$G$40</c:f>
              <c:numCache>
                <c:formatCode>"$"#,##0;[Red]\-"$"#,##0</c:formatCode>
                <c:ptCount val="38"/>
                <c:pt idx="0">
                  <c:v>-60796.156089898919</c:v>
                </c:pt>
                <c:pt idx="1">
                  <c:v>-188119.99982553444</c:v>
                </c:pt>
                <c:pt idx="2">
                  <c:v>-29705.171733600153</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numCache>
            </c:numRef>
          </c:val>
          <c:extLst>
            <c:ext xmlns:c16="http://schemas.microsoft.com/office/drawing/2014/chart" uri="{C3380CC4-5D6E-409C-BE32-E72D297353CC}">
              <c16:uniqueId val="{00000003-0967-49E4-986E-E180F70160A0}"/>
            </c:ext>
          </c:extLst>
        </c:ser>
        <c:ser>
          <c:idx val="0"/>
          <c:order val="4"/>
          <c:tx>
            <c:strRef>
              <c:f>Graf!$C$2</c:f>
              <c:strCache>
                <c:ptCount val="1"/>
                <c:pt idx="0">
                  <c:v>Intereses causados</c:v>
                </c:pt>
              </c:strCache>
            </c:strRef>
          </c:tx>
          <c:spPr>
            <a:solidFill>
              <a:schemeClr val="accent3">
                <a:lumMod val="40000"/>
                <a:lumOff val="60000"/>
              </a:schemeClr>
            </a:solidFill>
            <a:ln>
              <a:noFill/>
            </a:ln>
            <a:effectLst/>
          </c:spPr>
          <c:invertIfNegative val="0"/>
          <c:val>
            <c:numRef>
              <c:f>Graf!$C$3:$C$40</c:f>
              <c:numCache>
                <c:formatCode>_(* #,##0_);_(* \(#,##0\);_(* "-"_);_(@_)</c:formatCode>
                <c:ptCount val="38"/>
                <c:pt idx="0">
                  <c:v>240895.14</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numCache>
            </c:numRef>
          </c:val>
          <c:extLst>
            <c:ext xmlns:c16="http://schemas.microsoft.com/office/drawing/2014/chart" uri="{C3380CC4-5D6E-409C-BE32-E72D297353CC}">
              <c16:uniqueId val="{00000004-0967-49E4-986E-E180F70160A0}"/>
            </c:ext>
          </c:extLst>
        </c:ser>
        <c:ser>
          <c:idx val="5"/>
          <c:order val="5"/>
          <c:tx>
            <c:strRef>
              <c:f>Graf!$E$2</c:f>
              <c:strCache>
                <c:ptCount val="1"/>
                <c:pt idx="0">
                  <c:v>Condonación 25%</c:v>
                </c:pt>
              </c:strCache>
            </c:strRef>
          </c:tx>
          <c:spPr>
            <a:solidFill>
              <a:schemeClr val="accent2"/>
            </a:solidFill>
            <a:ln>
              <a:noFill/>
            </a:ln>
            <a:effectLst/>
          </c:spPr>
          <c:invertIfNegative val="0"/>
          <c:val>
            <c:numRef>
              <c:f>Graf!$E$3:$E$40</c:f>
              <c:numCache>
                <c:formatCode>"$"#,##0;[Red]\-"$"#,##0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numCache>
            </c:numRef>
          </c:val>
          <c:extLst>
            <c:ext xmlns:c16="http://schemas.microsoft.com/office/drawing/2014/chart" uri="{C3380CC4-5D6E-409C-BE32-E72D297353CC}">
              <c16:uniqueId val="{00000005-0967-49E4-986E-E180F70160A0}"/>
            </c:ext>
          </c:extLst>
        </c:ser>
        <c:dLbls>
          <c:showLegendKey val="0"/>
          <c:showVal val="0"/>
          <c:showCatName val="0"/>
          <c:showSerName val="0"/>
          <c:showPercent val="0"/>
          <c:showBubbleSize val="0"/>
        </c:dLbls>
        <c:gapWidth val="150"/>
        <c:overlap val="100"/>
        <c:axId val="-1217592208"/>
        <c:axId val="-1217591664"/>
      </c:barChart>
      <c:catAx>
        <c:axId val="-12175922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Semestres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CO"/>
          </a:p>
        </c:txPr>
        <c:crossAx val="-1217591664"/>
        <c:crosses val="autoZero"/>
        <c:auto val="1"/>
        <c:lblAlgn val="ctr"/>
        <c:lblOffset val="100"/>
        <c:noMultiLvlLbl val="0"/>
      </c:catAx>
      <c:valAx>
        <c:axId val="-1217591664"/>
        <c:scaling>
          <c:orientation val="minMax"/>
        </c:scaling>
        <c:delete val="0"/>
        <c:axPos val="l"/>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CO"/>
          </a:p>
        </c:txPr>
        <c:crossAx val="-1217592208"/>
        <c:crosses val="autoZero"/>
        <c:crossBetween val="between"/>
      </c:valAx>
      <c:spPr>
        <a:noFill/>
        <a:ln>
          <a:noFill/>
        </a:ln>
        <a:effectLst/>
      </c:spPr>
    </c:plotArea>
    <c:legend>
      <c:legendPos val="b"/>
      <c:layout>
        <c:manualLayout>
          <c:xMode val="edge"/>
          <c:yMode val="edge"/>
          <c:x val="4.4415471583215606E-2"/>
          <c:y val="0.85447058951232613"/>
          <c:w val="0.91475604894781615"/>
          <c:h val="0.1455294104876739"/>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solidFill>
      <a:schemeClr val="bg1"/>
    </a:solidFill>
    <a:ln w="25400" cap="flat" cmpd="sng" algn="ctr">
      <a:solidFill>
        <a:srgbClr val="002060"/>
      </a:solidFill>
      <a:round/>
    </a:ln>
    <a:effectLst/>
  </c:spPr>
  <c:txPr>
    <a:bodyPr/>
    <a:lstStyle/>
    <a:p>
      <a:pPr>
        <a:defRPr/>
      </a:pPr>
      <a:endParaRPr lang="es-CO"/>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no"?>
<Relationships xmlns="http://schemas.openxmlformats.org/package/2006/relationships">
<Relationship Id="rId1" Target="../charts/chart1.xml" Type="http://schemas.openxmlformats.org/officeDocument/2006/relationships/chart"/>
</Relationships>

</file>

<file path=xl/drawings/drawing1.xml><?xml version="1.0" encoding="utf-8"?>
<xdr:wsDr xmlns:xdr="http://schemas.openxmlformats.org/drawingml/2006/spreadsheetDrawing" xmlns:a="http://schemas.openxmlformats.org/drawingml/2006/main">
  <xdr:twoCellAnchor editAs="absolute">
    <xdr:from>
      <xdr:col>3</xdr:col>
      <xdr:colOff>253247</xdr:colOff>
      <xdr:row>17</xdr:row>
      <xdr:rowOff>199572</xdr:rowOff>
    </xdr:from>
    <xdr:to>
      <xdr:col>43</xdr:col>
      <xdr:colOff>218126</xdr:colOff>
      <xdr:row>49</xdr:row>
      <xdr:rowOff>81107</xdr:rowOff>
    </xdr:to>
    <xdr:graphicFrame macro="">
      <xdr:nvGraphicFramePr>
        <xdr:cNvPr id="3" name="Gráfico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0</xdr:col>
      <xdr:colOff>789215</xdr:colOff>
      <xdr:row>0</xdr:row>
      <xdr:rowOff>143508</xdr:rowOff>
    </xdr:from>
    <xdr:ext cx="3772828" cy="374141"/>
    <xdr:sp macro="" textlink="">
      <xdr:nvSpPr>
        <xdr:cNvPr id="2" name="Rectángulo 1">
          <a:extLst>
            <a:ext uri="{FF2B5EF4-FFF2-40B4-BE49-F238E27FC236}">
              <a16:creationId xmlns:a16="http://schemas.microsoft.com/office/drawing/2014/main" id="{EFEAAA1F-2968-402B-A99A-E84F9C59B137}"/>
            </a:ext>
          </a:extLst>
        </xdr:cNvPr>
        <xdr:cNvSpPr/>
      </xdr:nvSpPr>
      <xdr:spPr>
        <a:xfrm>
          <a:off x="789215" y="143508"/>
          <a:ext cx="3772828" cy="374141"/>
        </a:xfrm>
        <a:prstGeom prst="rect">
          <a:avLst/>
        </a:prstGeom>
        <a:noFill/>
      </xdr:spPr>
      <xdr:txBody>
        <a:bodyPr wrap="none" lIns="91440" tIns="45720" rIns="91440" bIns="45720">
          <a:spAutoFit/>
        </a:bodyPr>
        <a:lstStyle/>
        <a:p>
          <a:pPr algn="ctr"/>
          <a:r>
            <a:rPr lang="es-ES" sz="1800" b="1" cap="none" spc="0">
              <a:ln w="0"/>
              <a:solidFill>
                <a:schemeClr val="accent1">
                  <a:lumMod val="50000"/>
                </a:schemeClr>
              </a:solidFill>
              <a:effectLst>
                <a:outerShdw blurRad="38100" dist="25400" dir="5400000" algn="ctr" rotWithShape="0">
                  <a:srgbClr val="6E747A">
                    <a:alpha val="43000"/>
                  </a:srgbClr>
                </a:outerShdw>
              </a:effectLst>
            </a:rPr>
            <a:t>SIMULADOR DE</a:t>
          </a:r>
          <a:r>
            <a:rPr lang="es-ES" sz="1800" b="1" cap="none" spc="0" baseline="0">
              <a:ln w="0"/>
              <a:solidFill>
                <a:schemeClr val="accent1">
                  <a:lumMod val="50000"/>
                </a:schemeClr>
              </a:solidFill>
              <a:effectLst>
                <a:outerShdw blurRad="38100" dist="25400" dir="5400000" algn="ctr" rotWithShape="0">
                  <a:srgbClr val="6E747A">
                    <a:alpha val="43000"/>
                  </a:srgbClr>
                </a:outerShdw>
              </a:effectLst>
            </a:rPr>
            <a:t> CRÉDITO EDUCATIVO</a:t>
          </a:r>
          <a:endParaRPr lang="es-ES" sz="1800" b="1" cap="none" spc="0">
            <a:ln w="0"/>
            <a:solidFill>
              <a:schemeClr val="accent1">
                <a:lumMod val="50000"/>
              </a:schemeClr>
            </a:solidFill>
            <a:effectLst>
              <a:outerShdw blurRad="38100" dist="25400" dir="5400000" algn="ctr" rotWithShape="0">
                <a:srgbClr val="6E747A">
                  <a:alpha val="43000"/>
                </a:srgbClr>
              </a:outerShdw>
            </a:effectLst>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0.70924</cdr:x>
      <cdr:y>0.04454</cdr:y>
    </cdr:from>
    <cdr:to>
      <cdr:x>0.95328</cdr:x>
      <cdr:y>0.11199</cdr:y>
    </cdr:to>
    <cdr:sp macro="" textlink="Resumen!$E$42">
      <cdr:nvSpPr>
        <cdr:cNvPr id="3" name="Rectángulo redondeado 2"/>
        <cdr:cNvSpPr/>
      </cdr:nvSpPr>
      <cdr:spPr>
        <a:xfrm xmlns:a="http://schemas.openxmlformats.org/drawingml/2006/main">
          <a:off x="7860614" y="178984"/>
          <a:ext cx="2704732" cy="270986"/>
        </a:xfrm>
        <a:prstGeom xmlns:a="http://schemas.openxmlformats.org/drawingml/2006/main" prst="roundRect">
          <a:avLst/>
        </a:prstGeom>
        <a:solidFill xmlns:a="http://schemas.openxmlformats.org/drawingml/2006/main">
          <a:srgbClr val="00206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wrap="square" lIns="36000" tIns="36000" rIns="36000" bIns="36000" anchor="ctr" anchorCtr="1">
          <a:spAutoFit/>
        </a:bodyPr>
        <a:lstStyle xmlns:a="http://schemas.openxmlformats.org/drawingml/2006/main"/>
        <a:p xmlns:a="http://schemas.openxmlformats.org/drawingml/2006/main">
          <a:fld id="{9FFD5944-E4A6-462B-91E3-7873BDDCA01A}" type="TxLink">
            <a:rPr lang="en-US" sz="1100" b="0" i="0" u="none" strike="noStrike">
              <a:solidFill>
                <a:schemeClr val="bg1"/>
              </a:solidFill>
              <a:latin typeface="Calibri"/>
            </a:rPr>
            <a:pPr/>
            <a:t>Giros por: $5 millones</a:t>
          </a:fld>
          <a:endParaRPr lang="es-CO">
            <a:solidFill>
              <a:schemeClr val="bg1"/>
            </a:solidFill>
          </a:endParaRPr>
        </a:p>
      </cdr:txBody>
    </cdr:sp>
  </cdr:relSizeAnchor>
  <cdr:relSizeAnchor xmlns:cdr="http://schemas.openxmlformats.org/drawingml/2006/chartDrawing">
    <cdr:from>
      <cdr:x>0.70924</cdr:x>
      <cdr:y>0.13691</cdr:y>
    </cdr:from>
    <cdr:to>
      <cdr:x>0.95328</cdr:x>
      <cdr:y>0.20217</cdr:y>
    </cdr:to>
    <cdr:sp macro="" textlink="Resumen!$I$44">
      <cdr:nvSpPr>
        <cdr:cNvPr id="5" name="Rectángulo redondeado 4"/>
        <cdr:cNvSpPr/>
      </cdr:nvSpPr>
      <cdr:spPr>
        <a:xfrm xmlns:a="http://schemas.openxmlformats.org/drawingml/2006/main">
          <a:off x="7316312" y="578234"/>
          <a:ext cx="2517458" cy="275626"/>
        </a:xfrm>
        <a:prstGeom xmlns:a="http://schemas.openxmlformats.org/drawingml/2006/main" prst="roundRect">
          <a:avLst/>
        </a:prstGeom>
        <a:solidFill xmlns:a="http://schemas.openxmlformats.org/drawingml/2006/main">
          <a:schemeClr val="bg2"/>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wrap="square" lIns="36000" tIns="0" rIns="36000" bIns="0" anchor="ctr" anchorCtr="1">
          <a:noAutofit/>
        </a:bodyPr>
        <a:lstStyle xmlns:a="http://schemas.openxmlformats.org/drawingml/2006/main"/>
        <a:p xmlns:a="http://schemas.openxmlformats.org/drawingml/2006/main">
          <a:fld id="{ED65959D-96B6-4F6E-A799-2A540BA3B3FA}" type="TxLink">
            <a:rPr lang="en-US" sz="1100" b="0" i="0" u="none" strike="noStrike">
              <a:solidFill>
                <a:srgbClr val="000000"/>
              </a:solidFill>
              <a:latin typeface="Calibri"/>
            </a:rPr>
            <a:pPr/>
            <a:t>Cuota inicial periodo de estudio: $260.133</a:t>
          </a:fld>
          <a:endParaRPr lang="es-CO"/>
        </a:p>
      </cdr:txBody>
    </cdr:sp>
  </cdr:relSizeAnchor>
  <cdr:relSizeAnchor xmlns:cdr="http://schemas.openxmlformats.org/drawingml/2006/chartDrawing">
    <cdr:from>
      <cdr:x>0.70924</cdr:x>
      <cdr:y>0.22599</cdr:y>
    </cdr:from>
    <cdr:to>
      <cdr:x>0.95328</cdr:x>
      <cdr:y>0.29126</cdr:y>
    </cdr:to>
    <cdr:sp macro="" textlink="Resumen!$I$48">
      <cdr:nvSpPr>
        <cdr:cNvPr id="8" name="Rectángulo redondeado 7"/>
        <cdr:cNvSpPr/>
      </cdr:nvSpPr>
      <cdr:spPr>
        <a:xfrm xmlns:a="http://schemas.openxmlformats.org/drawingml/2006/main">
          <a:off x="7316312" y="954463"/>
          <a:ext cx="2517458" cy="275668"/>
        </a:xfrm>
        <a:prstGeom xmlns:a="http://schemas.openxmlformats.org/drawingml/2006/main" prst="roundRect">
          <a:avLst/>
        </a:prstGeom>
        <a:solidFill xmlns:a="http://schemas.openxmlformats.org/drawingml/2006/main">
          <a:schemeClr val="bg2"/>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lIns="72000" tIns="36000" rIns="72000" bIns="36000" anchor="ctr" anchorCtr="1"/>
        <a:lstStyle xmlns:a="http://schemas.openxmlformats.org/drawingml/2006/main"/>
        <a:p xmlns:a="http://schemas.openxmlformats.org/drawingml/2006/main">
          <a:fld id="{14389F57-7D12-4A44-8FED-2A44CD9EA950}" type="TxLink">
            <a:rPr lang="en-US" sz="1100" b="0" i="0" u="none" strike="noStrike">
              <a:solidFill>
                <a:srgbClr val="000000"/>
              </a:solidFill>
              <a:latin typeface="Calibri"/>
            </a:rPr>
            <a:pPr/>
            <a:t>Cuota periodo amortización: $439.858</a:t>
          </a:fld>
          <a:endParaRPr lang="es-CO"/>
        </a:p>
      </cdr:txBody>
    </cdr:sp>
  </cdr:relSizeAnchor>
</c:userShape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comments1.xml" Type="http://schemas.openxmlformats.org/officeDocument/2006/relationships/comments"/>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3.xml.rels><?xml version="1.0" encoding="UTF-8" standalone="no"?>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no"?>
<Relationships xmlns="http://schemas.openxmlformats.org/package/2006/relationships">
<Relationship Id="rId1" Target="../printerSettings/printerSettings4.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AS1027"/>
  <sheetViews>
    <sheetView showGridLines="0" tabSelected="1" zoomScale="55" zoomScaleNormal="55" workbookViewId="0">
      <selection activeCell="AV22" sqref="AV22"/>
    </sheetView>
  </sheetViews>
  <sheetFormatPr baseColWidth="10" defaultRowHeight="14.5" x14ac:dyDescent="0.35"/>
  <cols>
    <col min="1" max="1" width="40.26953125" customWidth="1"/>
    <col min="2" max="2" width="6.81640625" customWidth="1"/>
    <col min="3" max="3" width="54.1796875" customWidth="1"/>
    <col min="4" max="4" width="7.81640625" customWidth="1"/>
    <col min="5" max="5" width="15.453125" customWidth="1"/>
    <col min="6" max="6" width="6.1796875" customWidth="1"/>
    <col min="7" max="43" width="3.54296875" customWidth="1"/>
    <col min="44" max="44" width="4.81640625" bestFit="1" customWidth="1"/>
    <col min="45" max="45" width="1.453125" customWidth="1"/>
  </cols>
  <sheetData>
    <row r="1" spans="1:45" ht="27" customHeight="1" x14ac:dyDescent="0.5">
      <c r="A1" s="39"/>
      <c r="E1" s="89" t="s">
        <v>82</v>
      </c>
      <c r="F1" s="89"/>
      <c r="G1" s="89"/>
      <c r="H1" s="89"/>
      <c r="I1" s="89"/>
      <c r="J1" s="89"/>
      <c r="K1" s="89"/>
      <c r="L1" s="89"/>
      <c r="M1" s="89"/>
      <c r="N1" s="89"/>
      <c r="O1" s="89"/>
      <c r="P1" s="89"/>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c r="AR1" s="89"/>
      <c r="AS1" s="89"/>
    </row>
    <row r="2" spans="1:45" ht="26.25" customHeight="1" x14ac:dyDescent="0.5">
      <c r="A2" s="39"/>
      <c r="E2" s="89"/>
      <c r="F2" s="89"/>
      <c r="G2" s="89"/>
      <c r="H2" s="89"/>
      <c r="I2" s="89"/>
      <c r="J2" s="89"/>
      <c r="K2" s="89"/>
      <c r="L2" s="89"/>
      <c r="M2" s="89"/>
      <c r="N2" s="89"/>
      <c r="O2" s="89"/>
      <c r="P2" s="89"/>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c r="AR2" s="89"/>
      <c r="AS2" s="89"/>
    </row>
    <row r="3" spans="1:45" hidden="1" x14ac:dyDescent="0.35">
      <c r="E3" s="36" t="s">
        <v>33</v>
      </c>
      <c r="F3" s="37">
        <f t="shared" ref="F3:AR3" si="0">+(F8*6)-5</f>
        <v>1</v>
      </c>
      <c r="G3" s="37">
        <f t="shared" si="0"/>
        <v>7</v>
      </c>
      <c r="H3" s="37">
        <f t="shared" si="0"/>
        <v>13</v>
      </c>
      <c r="I3" s="37">
        <f t="shared" si="0"/>
        <v>19</v>
      </c>
      <c r="J3" s="37">
        <f t="shared" si="0"/>
        <v>25</v>
      </c>
      <c r="K3" s="37">
        <f t="shared" si="0"/>
        <v>31</v>
      </c>
      <c r="L3" s="37">
        <f t="shared" si="0"/>
        <v>37</v>
      </c>
      <c r="M3" s="37">
        <f t="shared" si="0"/>
        <v>43</v>
      </c>
      <c r="N3" s="37">
        <f t="shared" si="0"/>
        <v>49</v>
      </c>
      <c r="O3" s="37">
        <f t="shared" si="0"/>
        <v>55</v>
      </c>
      <c r="P3" s="37">
        <f t="shared" si="0"/>
        <v>61</v>
      </c>
      <c r="Q3" s="37">
        <f t="shared" si="0"/>
        <v>67</v>
      </c>
      <c r="R3" s="37">
        <f t="shared" si="0"/>
        <v>73</v>
      </c>
      <c r="S3" s="37">
        <f t="shared" si="0"/>
        <v>79</v>
      </c>
      <c r="T3" s="37">
        <f t="shared" si="0"/>
        <v>85</v>
      </c>
      <c r="U3" s="37">
        <f t="shared" si="0"/>
        <v>91</v>
      </c>
      <c r="V3" s="37">
        <f t="shared" si="0"/>
        <v>97</v>
      </c>
      <c r="W3" s="37">
        <f t="shared" si="0"/>
        <v>103</v>
      </c>
      <c r="X3" s="37">
        <f t="shared" si="0"/>
        <v>109</v>
      </c>
      <c r="Y3" s="37">
        <f t="shared" si="0"/>
        <v>115</v>
      </c>
      <c r="Z3" s="37">
        <f t="shared" si="0"/>
        <v>121</v>
      </c>
      <c r="AA3" s="37">
        <f t="shared" si="0"/>
        <v>127</v>
      </c>
      <c r="AB3" s="37">
        <f t="shared" si="0"/>
        <v>133</v>
      </c>
      <c r="AC3" s="37">
        <f t="shared" si="0"/>
        <v>139</v>
      </c>
      <c r="AD3" s="37">
        <f t="shared" si="0"/>
        <v>145</v>
      </c>
      <c r="AE3" s="37">
        <f t="shared" si="0"/>
        <v>151</v>
      </c>
      <c r="AF3" s="37">
        <f t="shared" si="0"/>
        <v>157</v>
      </c>
      <c r="AG3" s="37">
        <f t="shared" si="0"/>
        <v>163</v>
      </c>
      <c r="AH3" s="37">
        <f t="shared" si="0"/>
        <v>169</v>
      </c>
      <c r="AI3" s="37">
        <f t="shared" si="0"/>
        <v>175</v>
      </c>
      <c r="AJ3" s="37">
        <f t="shared" si="0"/>
        <v>181</v>
      </c>
      <c r="AK3" s="37">
        <f t="shared" si="0"/>
        <v>187</v>
      </c>
      <c r="AL3" s="37">
        <f t="shared" si="0"/>
        <v>193</v>
      </c>
      <c r="AM3" s="37">
        <f t="shared" si="0"/>
        <v>199</v>
      </c>
      <c r="AN3" s="37">
        <f t="shared" si="0"/>
        <v>205</v>
      </c>
      <c r="AO3" s="37">
        <f t="shared" si="0"/>
        <v>211</v>
      </c>
      <c r="AP3" s="37">
        <f t="shared" si="0"/>
        <v>217</v>
      </c>
      <c r="AQ3" s="37">
        <f t="shared" si="0"/>
        <v>223</v>
      </c>
      <c r="AR3" s="37">
        <f t="shared" si="0"/>
        <v>-5</v>
      </c>
    </row>
    <row r="4" spans="1:45" ht="15" thickBot="1" x14ac:dyDescent="0.4">
      <c r="A4" s="40" t="s">
        <v>7</v>
      </c>
      <c r="B4" s="41"/>
      <c r="C4" s="42"/>
    </row>
    <row r="5" spans="1:45" ht="6" customHeight="1" thickTop="1" x14ac:dyDescent="0.35">
      <c r="E5" s="3"/>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5"/>
    </row>
    <row r="6" spans="1:45" ht="15" thickBot="1" x14ac:dyDescent="0.4">
      <c r="A6" s="2" t="s">
        <v>67</v>
      </c>
      <c r="C6" s="45" t="s">
        <v>88</v>
      </c>
      <c r="E6" s="79" t="s">
        <v>20</v>
      </c>
      <c r="F6" s="87">
        <v>1</v>
      </c>
      <c r="G6" s="87"/>
      <c r="H6" s="88">
        <f>+F6+1</f>
        <v>2</v>
      </c>
      <c r="I6" s="88"/>
      <c r="J6" s="87">
        <f>+H6+1</f>
        <v>3</v>
      </c>
      <c r="K6" s="87"/>
      <c r="L6" s="88">
        <f>+J6+1</f>
        <v>4</v>
      </c>
      <c r="M6" s="88"/>
      <c r="N6" s="87">
        <f>+L6+1</f>
        <v>5</v>
      </c>
      <c r="O6" s="87"/>
      <c r="P6" s="88">
        <f>+N6+1</f>
        <v>6</v>
      </c>
      <c r="Q6" s="88"/>
      <c r="R6" s="87">
        <f>+P6+1</f>
        <v>7</v>
      </c>
      <c r="S6" s="87"/>
      <c r="T6" s="88">
        <f>+R6+1</f>
        <v>8</v>
      </c>
      <c r="U6" s="88"/>
      <c r="V6" s="87">
        <f>+T6+1</f>
        <v>9</v>
      </c>
      <c r="W6" s="87"/>
      <c r="X6" s="88">
        <f>+V6+1</f>
        <v>10</v>
      </c>
      <c r="Y6" s="88"/>
      <c r="Z6" s="87">
        <f>+X6+1</f>
        <v>11</v>
      </c>
      <c r="AA6" s="87"/>
      <c r="AB6" s="88">
        <f>+Z6+1</f>
        <v>12</v>
      </c>
      <c r="AC6" s="88"/>
      <c r="AD6" s="87">
        <f>+AB6+1</f>
        <v>13</v>
      </c>
      <c r="AE6" s="87"/>
      <c r="AF6" s="88">
        <f>+AD6+1</f>
        <v>14</v>
      </c>
      <c r="AG6" s="88"/>
      <c r="AH6" s="87">
        <f>+AF6+1</f>
        <v>15</v>
      </c>
      <c r="AI6" s="87"/>
      <c r="AJ6" s="88">
        <f>+AH6+1</f>
        <v>16</v>
      </c>
      <c r="AK6" s="88"/>
      <c r="AL6" s="87">
        <f>+AJ6+1</f>
        <v>17</v>
      </c>
      <c r="AM6" s="87"/>
      <c r="AN6" s="88">
        <f>+AL6+1</f>
        <v>18</v>
      </c>
      <c r="AO6" s="88"/>
      <c r="AP6" s="87">
        <f>+AN6+1</f>
        <v>19</v>
      </c>
      <c r="AQ6" s="87"/>
      <c r="AR6" s="43"/>
      <c r="AS6" s="7"/>
    </row>
    <row r="7" spans="1:45" ht="6" customHeight="1" thickTop="1" x14ac:dyDescent="0.35">
      <c r="C7" s="44"/>
      <c r="E7" s="8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7"/>
    </row>
    <row r="8" spans="1:45" ht="15" thickBot="1" x14ac:dyDescent="0.4">
      <c r="A8" s="2" t="s">
        <v>5</v>
      </c>
      <c r="C8" s="46" t="s">
        <v>9</v>
      </c>
      <c r="E8" s="79" t="s">
        <v>17</v>
      </c>
      <c r="F8" s="11">
        <v>1</v>
      </c>
      <c r="G8" s="11">
        <f>+F8+1</f>
        <v>2</v>
      </c>
      <c r="H8" s="11">
        <f t="shared" ref="H8:AQ8" si="1">+G8+1</f>
        <v>3</v>
      </c>
      <c r="I8" s="11">
        <f t="shared" si="1"/>
        <v>4</v>
      </c>
      <c r="J8" s="11">
        <f t="shared" si="1"/>
        <v>5</v>
      </c>
      <c r="K8" s="11">
        <f t="shared" si="1"/>
        <v>6</v>
      </c>
      <c r="L8" s="11">
        <f t="shared" si="1"/>
        <v>7</v>
      </c>
      <c r="M8" s="11">
        <f t="shared" si="1"/>
        <v>8</v>
      </c>
      <c r="N8" s="11">
        <f t="shared" si="1"/>
        <v>9</v>
      </c>
      <c r="O8" s="11">
        <f t="shared" si="1"/>
        <v>10</v>
      </c>
      <c r="P8" s="11">
        <f t="shared" si="1"/>
        <v>11</v>
      </c>
      <c r="Q8" s="11">
        <f t="shared" si="1"/>
        <v>12</v>
      </c>
      <c r="R8" s="11">
        <f t="shared" si="1"/>
        <v>13</v>
      </c>
      <c r="S8" s="11">
        <f t="shared" si="1"/>
        <v>14</v>
      </c>
      <c r="T8" s="11">
        <f t="shared" si="1"/>
        <v>15</v>
      </c>
      <c r="U8" s="11">
        <f t="shared" si="1"/>
        <v>16</v>
      </c>
      <c r="V8" s="11">
        <f t="shared" si="1"/>
        <v>17</v>
      </c>
      <c r="W8" s="11">
        <f t="shared" si="1"/>
        <v>18</v>
      </c>
      <c r="X8" s="11">
        <f t="shared" si="1"/>
        <v>19</v>
      </c>
      <c r="Y8" s="11">
        <f t="shared" si="1"/>
        <v>20</v>
      </c>
      <c r="Z8" s="11">
        <f t="shared" si="1"/>
        <v>21</v>
      </c>
      <c r="AA8" s="11">
        <f t="shared" si="1"/>
        <v>22</v>
      </c>
      <c r="AB8" s="11">
        <f t="shared" si="1"/>
        <v>23</v>
      </c>
      <c r="AC8" s="11">
        <f t="shared" si="1"/>
        <v>24</v>
      </c>
      <c r="AD8" s="11">
        <f t="shared" si="1"/>
        <v>25</v>
      </c>
      <c r="AE8" s="11">
        <f t="shared" si="1"/>
        <v>26</v>
      </c>
      <c r="AF8" s="11">
        <f t="shared" si="1"/>
        <v>27</v>
      </c>
      <c r="AG8" s="11">
        <f t="shared" si="1"/>
        <v>28</v>
      </c>
      <c r="AH8" s="11">
        <f t="shared" si="1"/>
        <v>29</v>
      </c>
      <c r="AI8" s="11">
        <f t="shared" si="1"/>
        <v>30</v>
      </c>
      <c r="AJ8" s="11">
        <f t="shared" si="1"/>
        <v>31</v>
      </c>
      <c r="AK8" s="11">
        <f t="shared" si="1"/>
        <v>32</v>
      </c>
      <c r="AL8" s="11">
        <f t="shared" si="1"/>
        <v>33</v>
      </c>
      <c r="AM8" s="11">
        <f t="shared" si="1"/>
        <v>34</v>
      </c>
      <c r="AN8" s="11">
        <f t="shared" si="1"/>
        <v>35</v>
      </c>
      <c r="AO8" s="11">
        <f t="shared" si="1"/>
        <v>36</v>
      </c>
      <c r="AP8" s="11">
        <f t="shared" si="1"/>
        <v>37</v>
      </c>
      <c r="AQ8" s="11">
        <f t="shared" si="1"/>
        <v>38</v>
      </c>
      <c r="AR8" s="12"/>
      <c r="AS8" s="7"/>
    </row>
    <row r="9" spans="1:45" ht="6" customHeight="1" thickTop="1" x14ac:dyDescent="0.35">
      <c r="C9" s="44"/>
      <c r="E9" s="80"/>
      <c r="AS9" s="7"/>
    </row>
    <row r="10" spans="1:45" ht="15" thickBot="1" x14ac:dyDescent="0.4">
      <c r="A10" s="2" t="s">
        <v>13</v>
      </c>
      <c r="C10" s="47">
        <v>5000000</v>
      </c>
      <c r="E10" s="79" t="s">
        <v>19</v>
      </c>
      <c r="F10" s="9">
        <v>1</v>
      </c>
      <c r="G10" s="9">
        <f>+IF($C$14-F8&gt;0,1,0)</f>
        <v>0</v>
      </c>
      <c r="H10" s="9">
        <f t="shared" ref="H10:AM10" si="2">+IF($C$14-G8&gt;0,1,0)</f>
        <v>0</v>
      </c>
      <c r="I10" s="9">
        <f t="shared" si="2"/>
        <v>0</v>
      </c>
      <c r="J10" s="9">
        <f t="shared" si="2"/>
        <v>0</v>
      </c>
      <c r="K10" s="9">
        <f t="shared" si="2"/>
        <v>0</v>
      </c>
      <c r="L10" s="9">
        <f t="shared" si="2"/>
        <v>0</v>
      </c>
      <c r="M10" s="9">
        <f t="shared" si="2"/>
        <v>0</v>
      </c>
      <c r="N10" s="9">
        <f t="shared" si="2"/>
        <v>0</v>
      </c>
      <c r="O10" s="9">
        <f t="shared" si="2"/>
        <v>0</v>
      </c>
      <c r="P10" s="9">
        <f t="shared" si="2"/>
        <v>0</v>
      </c>
      <c r="Q10" s="9">
        <f t="shared" si="2"/>
        <v>0</v>
      </c>
      <c r="R10" s="9">
        <f t="shared" si="2"/>
        <v>0</v>
      </c>
      <c r="S10" s="9">
        <f t="shared" si="2"/>
        <v>0</v>
      </c>
      <c r="T10" s="9">
        <f t="shared" si="2"/>
        <v>0</v>
      </c>
      <c r="U10" s="9">
        <f t="shared" si="2"/>
        <v>0</v>
      </c>
      <c r="V10" s="9">
        <f t="shared" si="2"/>
        <v>0</v>
      </c>
      <c r="W10" s="9">
        <f t="shared" si="2"/>
        <v>0</v>
      </c>
      <c r="X10" s="9">
        <f t="shared" si="2"/>
        <v>0</v>
      </c>
      <c r="Y10" s="9">
        <f t="shared" si="2"/>
        <v>0</v>
      </c>
      <c r="Z10" s="9">
        <f t="shared" si="2"/>
        <v>0</v>
      </c>
      <c r="AA10" s="9">
        <f t="shared" si="2"/>
        <v>0</v>
      </c>
      <c r="AB10" s="9">
        <f t="shared" si="2"/>
        <v>0</v>
      </c>
      <c r="AC10" s="9">
        <f t="shared" si="2"/>
        <v>0</v>
      </c>
      <c r="AD10" s="9">
        <f t="shared" si="2"/>
        <v>0</v>
      </c>
      <c r="AE10" s="9">
        <f t="shared" si="2"/>
        <v>0</v>
      </c>
      <c r="AF10" s="9">
        <f t="shared" si="2"/>
        <v>0</v>
      </c>
      <c r="AG10" s="9">
        <f t="shared" si="2"/>
        <v>0</v>
      </c>
      <c r="AH10" s="9">
        <f t="shared" si="2"/>
        <v>0</v>
      </c>
      <c r="AI10" s="9">
        <f t="shared" si="2"/>
        <v>0</v>
      </c>
      <c r="AJ10" s="9">
        <f t="shared" si="2"/>
        <v>0</v>
      </c>
      <c r="AK10" s="9">
        <f t="shared" si="2"/>
        <v>0</v>
      </c>
      <c r="AL10" s="9">
        <f t="shared" si="2"/>
        <v>0</v>
      </c>
      <c r="AM10" s="9">
        <f t="shared" si="2"/>
        <v>0</v>
      </c>
      <c r="AN10" s="9">
        <f t="shared" ref="AN10:AQ10" si="3">+IF($C$14-AM8&gt;0,1,0)</f>
        <v>0</v>
      </c>
      <c r="AO10" s="9">
        <f t="shared" si="3"/>
        <v>0</v>
      </c>
      <c r="AP10" s="9">
        <f t="shared" si="3"/>
        <v>0</v>
      </c>
      <c r="AQ10" s="9">
        <f t="shared" si="3"/>
        <v>0</v>
      </c>
      <c r="AR10" s="13">
        <f>+SUM(F10:AQ10)</f>
        <v>1</v>
      </c>
      <c r="AS10" s="7"/>
    </row>
    <row r="11" spans="1:45" ht="6" customHeight="1" thickTop="1" x14ac:dyDescent="0.35">
      <c r="C11" s="44"/>
      <c r="E11" s="80"/>
      <c r="AS11" s="7"/>
    </row>
    <row r="12" spans="1:45" ht="15" thickBot="1" x14ac:dyDescent="0.4">
      <c r="A12" s="2" t="s">
        <v>79</v>
      </c>
      <c r="C12" s="48">
        <v>5.1999999999999998E-2</v>
      </c>
      <c r="E12" s="79" t="s">
        <v>11</v>
      </c>
      <c r="F12" s="9"/>
      <c r="G12" s="9">
        <f>+IF($C$26=0,0,IF(AND(F10=1,G10=0),1,IF(AND(F12=1,$C$26/6&gt;1,SUM($F$12:F12)&lt;($C$26/6)),1,0)))</f>
        <v>0</v>
      </c>
      <c r="H12" s="9">
        <f>+IF($C$26=0,0,IF(AND(G10=1,H10=0),1,IF(AND(G12=1,$C$26/6&gt;1,SUM($F$12:G12)&lt;($C$26/6)),1,0)))</f>
        <v>0</v>
      </c>
      <c r="I12" s="9">
        <f>+IF($C$26=0,0,IF(AND(H10=1,I10=0),1,IF(AND(H12=1,$C$26/6&gt;1,SUM($F$12:H12)&lt;($C$26/6)),1,0)))</f>
        <v>0</v>
      </c>
      <c r="J12" s="9">
        <f>+IF($C$26=0,0,IF(AND(I10=1,J10=0),1,IF(AND(I12=1,$C$26/6&gt;1,SUM($F$12:I12)&lt;($C$26/6)),1,0)))</f>
        <v>0</v>
      </c>
      <c r="K12" s="9">
        <f>+IF($C$26=0,0,IF(AND(J10=1,K10=0),1,IF(AND(J12=1,$C$26/6&gt;1,SUM($F$12:J12)&lt;($C$26/6)),1,0)))</f>
        <v>0</v>
      </c>
      <c r="L12" s="9">
        <f>+IF($C$26=0,0,IF(AND(K10=1,L10=0),1,IF(AND(K12=1,$C$26/6&gt;1,SUM($F$12:K12)&lt;($C$26/6)),1,0)))</f>
        <v>0</v>
      </c>
      <c r="M12" s="9">
        <f>+IF($C$26=0,0,IF(AND(L10=1,M10=0),1,IF(AND(L12=1,$C$26/6&gt;1,SUM($F$12:L12)&lt;($C$26/6)),1,0)))</f>
        <v>0</v>
      </c>
      <c r="N12" s="9">
        <f>+IF($C$26=0,0,IF(AND(M10=1,N10=0),1,IF(AND(M12=1,$C$26/6&gt;1,SUM($F$12:M12)&lt;($C$26/6)),1,0)))</f>
        <v>0</v>
      </c>
      <c r="O12" s="9">
        <f>+IF($C$26=0,0,IF(AND(N10=1,O10=0),1,IF(AND(N12=1,$C$26/6&gt;1,SUM($F$12:N12)&lt;($C$26/6)),1,0)))</f>
        <v>0</v>
      </c>
      <c r="P12" s="9">
        <f>+IF($C$26=0,0,IF(AND(O10=1,P10=0),1,IF(AND(O12=1,$C$26/6&gt;1,SUM($F$12:O12)&lt;($C$26/6)),1,0)))</f>
        <v>0</v>
      </c>
      <c r="Q12" s="9">
        <f>+IF($C$26=0,0,IF(AND(P10=1,Q10=0),1,IF(AND(P12=1,$C$26/6&gt;1,SUM($F$12:P12)&lt;($C$26/6)),1,0)))</f>
        <v>0</v>
      </c>
      <c r="R12" s="9">
        <f>+IF($C$26=0,0,IF(AND(Q10=1,R10=0),1,IF(AND(Q12=1,$C$26/6&gt;1,SUM($F$12:Q12)&lt;($C$26/6)),1,0)))</f>
        <v>0</v>
      </c>
      <c r="S12" s="9">
        <f>+IF($C$26=0,0,IF(AND(R10=1,S10=0),1,IF(AND(R12=1,$C$26/6&gt;1,SUM($F$12:R12)&lt;($C$26/6)),1,0)))</f>
        <v>0</v>
      </c>
      <c r="T12" s="9">
        <f>+IF($C$26=0,0,IF(AND(S10=1,T10=0),1,IF(AND(S12=1,$C$26/6&gt;1,SUM($F$12:S12)&lt;($C$26/6)),1,0)))</f>
        <v>0</v>
      </c>
      <c r="U12" s="9">
        <f>+IF($C$26=0,0,IF(AND(T10=1,U10=0),1,IF(AND(T12=1,$C$26/6&gt;1,SUM($F$12:T12)&lt;($C$26/6)),1,0)))</f>
        <v>0</v>
      </c>
      <c r="V12" s="9">
        <f>+IF($C$26=0,0,IF(AND(U10=1,V10=0),1,IF(AND(U12=1,$C$26/6&gt;1,SUM($F$12:U12)&lt;($C$26/6)),1,0)))</f>
        <v>0</v>
      </c>
      <c r="W12" s="9">
        <f>+IF($C$26=0,0,IF(AND(V10=1,W10=0),1,IF(AND(V12=1,$C$26/6&gt;1,SUM($F$12:V12)&lt;($C$26/6)),1,0)))</f>
        <v>0</v>
      </c>
      <c r="X12" s="9">
        <f>+IF($C$26=0,0,IF(AND(W10=1,X10=0),1,IF(AND(W12=1,$C$26/6&gt;1,SUM($F$12:W12)&lt;($C$26/6)),1,0)))</f>
        <v>0</v>
      </c>
      <c r="Y12" s="9">
        <f>+IF($C$26=0,0,IF(AND(X10=1,Y10=0),1,IF(AND(X12=1,$C$26/6&gt;1,SUM($F$12:X12)&lt;($C$26/6)),1,0)))</f>
        <v>0</v>
      </c>
      <c r="Z12" s="9">
        <f>+IF($C$26=0,0,IF(AND(Y10=1,Z10=0),1,IF(AND(Y12=1,$C$26/6&gt;1,SUM($F$12:Y12)&lt;($C$26/6)),1,0)))</f>
        <v>0</v>
      </c>
      <c r="AA12" s="9">
        <f>+IF($C$26=0,0,IF(AND(Z10=1,AA10=0),1,IF(AND(Z12=1,$C$26/6&gt;1,SUM($F$12:Z12)&lt;($C$26/6)),1,0)))</f>
        <v>0</v>
      </c>
      <c r="AB12" s="9">
        <f>+IF($C$26=0,0,IF(AND(AA10=1,AB10=0),1,IF(AND(AA12=1,$C$26/6&gt;1,SUM($F$12:AA12)&lt;($C$26/6)),1,0)))</f>
        <v>0</v>
      </c>
      <c r="AC12" s="9">
        <f>+IF($C$26=0,0,IF(AND(AB10=1,AC10=0),1,IF(AND(AB12=1,$C$26/6&gt;1,SUM($F$12:AB12)&lt;($C$26/6)),1,0)))</f>
        <v>0</v>
      </c>
      <c r="AD12" s="9">
        <f>+IF($C$26=0,0,IF(AND(AC10=1,AD10=0),1,IF(AND(AC12=1,$C$26/6&gt;1,SUM($F$12:AC12)&lt;($C$26/6)),1,0)))</f>
        <v>0</v>
      </c>
      <c r="AE12" s="9">
        <f>+IF($C$26=0,0,IF(AND(AD10=1,AE10=0),1,IF(AND(AD12=1,$C$26/6&gt;1,SUM($F$12:AD12)&lt;($C$26/6)),1,0)))</f>
        <v>0</v>
      </c>
      <c r="AF12" s="9">
        <f>+IF($C$26=0,0,IF(AND(AE10=1,AF10=0),1,IF(AND(AE12=1,$C$26/6&gt;1,SUM($F$12:AE12)&lt;($C$26/6)),1,0)))</f>
        <v>0</v>
      </c>
      <c r="AG12" s="9">
        <f>+IF($C$26=0,0,IF(AND(AF10=1,AG10=0),1,IF(AND(AF12=1,$C$26/6&gt;1,SUM($F$12:AF12)&lt;($C$26/6)),1,0)))</f>
        <v>0</v>
      </c>
      <c r="AH12" s="9">
        <f>+IF($C$26=0,0,IF(AND(AG10=1,AH10=0),1,IF(AND(AG12=1,$C$26/6&gt;1,SUM($F$12:AG12)&lt;($C$26/6)),1,0)))</f>
        <v>0</v>
      </c>
      <c r="AI12" s="9">
        <f>+IF($C$26=0,0,IF(AND(AH10=1,AI10=0),1,IF(AND(AH12=1,$C$26/6&gt;1,SUM($F$12:AH12)&lt;($C$26/6)),1,0)))</f>
        <v>0</v>
      </c>
      <c r="AJ12" s="9">
        <f>+IF($C$26=0,0,IF(AND(AI10=1,AJ10=0),1,IF(AND(AI12=1,$C$26/6&gt;1,SUM($F$12:AI12)&lt;($C$26/6)),1,0)))</f>
        <v>0</v>
      </c>
      <c r="AK12" s="9">
        <f>+IF($C$26=0,0,IF(AND(AJ10=1,AK10=0),1,IF(AND(AJ12=1,$C$26/6&gt;1,SUM($F$12:AJ12)&lt;($C$26/6)),1,0)))</f>
        <v>0</v>
      </c>
      <c r="AL12" s="9">
        <f>+IF($C$26=0,0,IF(AND(AK10=1,AL10=0),1,IF(AND(AK12=1,$C$26/6&gt;1,SUM($F$12:AK12)&lt;($C$26/6)),1,0)))</f>
        <v>0</v>
      </c>
      <c r="AM12" s="9">
        <f>+IF($C$26=0,0,IF(AND(AL10=1,AM10=0),1,IF(AND(AL12=1,$C$26/6&gt;1,SUM($F$12:AL12)&lt;($C$26/6)),1,0)))</f>
        <v>0</v>
      </c>
      <c r="AN12" s="9">
        <f>+IF($C$26=0,0,IF(AND(AM10=1,AN10=0),1,IF(AND(AM12=1,$C$26/6&gt;1,SUM($F$12:AM12)&lt;($C$26/6)),1,0)))</f>
        <v>0</v>
      </c>
      <c r="AO12" s="9">
        <f>+IF($C$26=0,0,IF(AND(AN10=1,AO10=0),1,IF(AND(AN12=1,$C$26/6&gt;1,SUM($F$12:AN12)&lt;($C$26/6)),1,0)))</f>
        <v>0</v>
      </c>
      <c r="AP12" s="9">
        <f>+IF($C$26=0,0,IF(AND(AO10=1,AP10=0),1,IF(AND(AO12=1,$C$26/6&gt;1,SUM($F$12:AO12)&lt;($C$26/6)),1,0)))</f>
        <v>0</v>
      </c>
      <c r="AQ12" s="9">
        <f>+IF($C$26=0,0,IF(AND(AP10=1,AQ10=0),1,IF(AND(AP12=1,$C$26/6&gt;1,SUM($F$12:AP12)&lt;($C$26/6)),1,0)))</f>
        <v>0</v>
      </c>
      <c r="AR12" s="13">
        <f>+SUM(F12:AQ12)</f>
        <v>0</v>
      </c>
      <c r="AS12" s="7"/>
    </row>
    <row r="13" spans="1:45" ht="6" customHeight="1" thickTop="1" x14ac:dyDescent="0.35">
      <c r="C13" s="44"/>
      <c r="E13" s="79"/>
      <c r="AS13" s="7"/>
    </row>
    <row r="14" spans="1:45" ht="15" thickBot="1" x14ac:dyDescent="0.4">
      <c r="A14" s="2" t="s">
        <v>15</v>
      </c>
      <c r="C14" s="49">
        <v>1</v>
      </c>
      <c r="E14" s="79" t="s">
        <v>12</v>
      </c>
      <c r="F14" s="9">
        <f>+IF(F8=$C$38,1,0)</f>
        <v>0</v>
      </c>
      <c r="G14" s="9">
        <f>+IF(G8&lt;$C$38,0,IF(AND($C$36=0,G8&lt;=$C$14),1,IF(SUM($F$14:F14)&gt;=$C$36/6,0,1)))</f>
        <v>1</v>
      </c>
      <c r="H14" s="9">
        <f>+IF(H8&lt;$C$38,0,IF(AND($C$36=0,H8&lt;=$C$14),1,IF(SUM($F$14:G14)&gt;=$C$36/6,0,1)))</f>
        <v>1</v>
      </c>
      <c r="I14" s="9">
        <f>+IF(I8&lt;$C$38,0,IF(AND($C$36=0,I8&lt;=$C$14),1,IF(SUM($F$14:H14)&gt;=$C$36/6,0,1)))</f>
        <v>0</v>
      </c>
      <c r="J14" s="9">
        <f>+IF(J8&lt;$C$38,0,IF(AND($C$36=0,J8&lt;=$C$14),1,IF(SUM($F$14:I14)&gt;=$C$36/6,0,1)))</f>
        <v>0</v>
      </c>
      <c r="K14" s="9">
        <f>+IF(K8&lt;$C$38,0,IF(AND($C$36=0,K8&lt;=$C$14),1,IF(SUM($F$14:J14)&gt;=$C$36/6,0,1)))</f>
        <v>0</v>
      </c>
      <c r="L14" s="9">
        <f>+IF(L8&lt;$C$38,0,IF(AND($C$36=0,L8&lt;=$C$14),1,IF(SUM($F$14:K14)&gt;=$C$36/6,0,1)))</f>
        <v>0</v>
      </c>
      <c r="M14" s="9">
        <f>+IF(M8&lt;$C$38,0,IF(AND($C$36=0,M8&lt;=$C$14),1,IF(SUM($F$14:L14)&gt;=$C$36/6,0,1)))</f>
        <v>0</v>
      </c>
      <c r="N14" s="9">
        <f>+IF(N8&lt;$C$38,0,IF(AND($C$36=0,N8&lt;=$C$14),1,IF(SUM($F$14:M14)&gt;=$C$36/6,0,1)))</f>
        <v>0</v>
      </c>
      <c r="O14" s="9">
        <f>+IF(O8&lt;$C$38,0,IF(AND($C$36=0,O8&lt;=$C$14),1,IF(SUM($F$14:N14)&gt;=$C$36/6,0,1)))</f>
        <v>0</v>
      </c>
      <c r="P14" s="9">
        <f>+IF(P8&lt;$C$38,0,IF(AND($C$36=0,P8&lt;=$C$14),1,IF(SUM($F$14:O14)&gt;=$C$36/6,0,1)))</f>
        <v>0</v>
      </c>
      <c r="Q14" s="9">
        <f>+IF(Q8&lt;$C$38,0,IF(AND($C$36=0,Q8&lt;=$C$14),1,IF(SUM($F$14:P14)&gt;=$C$36/6,0,1)))</f>
        <v>0</v>
      </c>
      <c r="R14" s="9">
        <f>+IF(R8&lt;$C$38,0,IF(AND($C$36=0,R8&lt;=$C$14),1,IF(SUM($F$14:Q14)&gt;=$C$36/6,0,1)))</f>
        <v>0</v>
      </c>
      <c r="S14" s="9">
        <f>+IF(S8&lt;$C$38,0,IF(AND($C$36=0,S8&lt;=$C$14),1,IF(SUM($F$14:R14)&gt;=$C$36/6,0,1)))</f>
        <v>0</v>
      </c>
      <c r="T14" s="9">
        <f>+IF(T8&lt;$C$38,0,IF(AND($C$36=0,T8&lt;=$C$14),1,IF(SUM($F$14:S14)&gt;=$C$36/6,0,1)))</f>
        <v>0</v>
      </c>
      <c r="U14" s="9">
        <f>+IF(U8&lt;$C$38,0,IF(AND($C$36=0,U8&lt;=$C$14),1,IF(SUM($F$14:T14)&gt;=$C$36/6,0,1)))</f>
        <v>0</v>
      </c>
      <c r="V14" s="9">
        <f>+IF(V8&lt;$C$38,0,IF(AND($C$36=0,V8&lt;=$C$14),1,IF(SUM($F$14:U14)&gt;=$C$36/6,0,1)))</f>
        <v>0</v>
      </c>
      <c r="W14" s="9">
        <f>+IF(W8&lt;$C$38,0,IF(AND($C$36=0,W8&lt;=$C$14),1,IF(SUM($F$14:V14)&gt;=$C$36/6,0,1)))</f>
        <v>0</v>
      </c>
      <c r="X14" s="9">
        <f>+IF(X8&lt;$C$38,0,IF(AND($C$36=0,X8&lt;=$C$14),1,IF(SUM($F$14:W14)&gt;=$C$36/6,0,1)))</f>
        <v>0</v>
      </c>
      <c r="Y14" s="9">
        <f>+IF(Y8&lt;$C$38,0,IF(AND($C$36=0,Y8&lt;=$C$14),1,IF(SUM($F$14:X14)&gt;=$C$36/6,0,1)))</f>
        <v>0</v>
      </c>
      <c r="Z14" s="9">
        <f>+IF(Z8&lt;$C$38,0,IF(AND($C$36=0,Z8&lt;=$C$14),1,IF(SUM($F$14:Y14)&gt;=$C$36/6,0,1)))</f>
        <v>0</v>
      </c>
      <c r="AA14" s="9">
        <f>+IF(AA8&lt;$C$38,0,IF(AND($C$36=0,AA8&lt;=$C$14),1,IF(SUM($F$14:Z14)&gt;=$C$36/6,0,1)))</f>
        <v>0</v>
      </c>
      <c r="AB14" s="9">
        <f>+IF(AB8&lt;$C$38,0,IF(AND($C$36=0,AB8&lt;=$C$14),1,IF(SUM($F$14:AA14)&gt;=$C$36/6,0,1)))</f>
        <v>0</v>
      </c>
      <c r="AC14" s="9">
        <f>+IF(AC8&lt;$C$38,0,IF(AND($C$36=0,AC8&lt;=$C$14),1,IF(SUM($F$14:AB14)&gt;=$C$36/6,0,1)))</f>
        <v>0</v>
      </c>
      <c r="AD14" s="9">
        <f>+IF(AD8&lt;$C$38,0,IF(AND($C$36=0,AD8&lt;=$C$14),1,IF(SUM($F$14:AC14)&gt;=$C$36/6,0,1)))</f>
        <v>0</v>
      </c>
      <c r="AE14" s="9">
        <f>+IF(AE8&lt;$C$38,0,IF(AND($C$36=0,AE8&lt;=$C$14),1,IF(SUM($F$14:AD14)&gt;=$C$36/6,0,1)))</f>
        <v>0</v>
      </c>
      <c r="AF14" s="9">
        <f>+IF(AF8&lt;$C$38,0,IF(AND($C$36=0,AF8&lt;=$C$14),1,IF(SUM($F$14:AE14)&gt;=$C$36/6,0,1)))</f>
        <v>0</v>
      </c>
      <c r="AG14" s="9">
        <f>+IF(AG8&lt;$C$38,0,IF(AND($C$36=0,AG8&lt;=$C$14),1,IF(SUM($F$14:AF14)&gt;=$C$36/6,0,1)))</f>
        <v>0</v>
      </c>
      <c r="AH14" s="9">
        <f>+IF(AH8&lt;$C$38,0,IF(AND($C$36=0,AH8&lt;=$C$14),1,IF(SUM($F$14:AG14)&gt;=$C$36/6,0,1)))</f>
        <v>0</v>
      </c>
      <c r="AI14" s="9">
        <f>+IF(AI8&lt;$C$38,0,IF(AND($C$36=0,AI8&lt;=$C$14),1,IF(SUM($F$14:AH14)&gt;=$C$36/6,0,1)))</f>
        <v>0</v>
      </c>
      <c r="AJ14" s="9">
        <f>+IF(AJ8&lt;$C$38,0,IF(AND($C$36=0,AJ8&lt;=$C$14),1,IF(SUM($F$14:AI14)&gt;=$C$36/6,0,1)))</f>
        <v>0</v>
      </c>
      <c r="AK14" s="9">
        <f>+IF(AK8&lt;$C$38,0,IF(AND($C$36=0,AK8&lt;=$C$14),1,IF(SUM($F$14:AJ14)&gt;=$C$36/6,0,1)))</f>
        <v>0</v>
      </c>
      <c r="AL14" s="9">
        <f>+IF(AL8&lt;$C$38,0,IF(AND($C$36=0,AL8&lt;=$C$14),1,IF(SUM($F$14:AK14)&gt;=$C$36/6,0,1)))</f>
        <v>0</v>
      </c>
      <c r="AM14" s="9">
        <f>+IF(AM8&lt;$C$38,0,IF(AND($C$36=0,AM8&lt;=$C$14),1,IF(SUM($F$14:AL14)&gt;=$C$36/6,0,1)))</f>
        <v>0</v>
      </c>
      <c r="AN14" s="9">
        <f>+IF(AN8&lt;$C$38,0,IF(AND($C$36=0,AN8&lt;=$C$14),1,IF(SUM($F$14:AM14)&gt;=$C$36/6,0,1)))</f>
        <v>0</v>
      </c>
      <c r="AO14" s="9">
        <f>+IF(AO8&lt;$C$38,0,IF(AND($C$36=0,AO8&lt;=$C$14),1,IF(SUM($F$14:AN14)&gt;=$C$36/6,0,1)))</f>
        <v>0</v>
      </c>
      <c r="AP14" s="9">
        <f>+IF(AP8&lt;$C$38,0,IF(AND($C$36=0,AP8&lt;=$C$14),1,IF(SUM($F$14:AO14)&gt;=$C$36/6,0,1)))</f>
        <v>0</v>
      </c>
      <c r="AQ14" s="9">
        <f>+IF(AQ8&lt;$C$38,0,IF(AND($C$36=0,AQ8&lt;=$C$14),1,IF(SUM($F$14:AP14)&gt;=$C$36/6,0,1)))</f>
        <v>0</v>
      </c>
      <c r="AR14" s="13">
        <f>+SUM(F14:AQ14)</f>
        <v>2</v>
      </c>
      <c r="AS14" s="7"/>
    </row>
    <row r="15" spans="1:45" ht="6" customHeight="1" thickTop="1" x14ac:dyDescent="0.35">
      <c r="C15" s="44"/>
      <c r="E15" s="8"/>
      <c r="AS15" s="7"/>
    </row>
    <row r="16" spans="1:45" ht="15" thickBot="1" x14ac:dyDescent="0.4">
      <c r="A16" s="2" t="s">
        <v>80</v>
      </c>
      <c r="C16" s="60">
        <f>+C12+2%</f>
        <v>7.1999999999999995E-2</v>
      </c>
      <c r="E16" s="6"/>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13"/>
      <c r="AS16" s="7"/>
    </row>
    <row r="17" spans="1:45" ht="6" customHeight="1" thickTop="1" x14ac:dyDescent="0.35">
      <c r="C17" s="4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row>
    <row r="18" spans="1:45" ht="16.5" customHeight="1" thickBot="1" x14ac:dyDescent="0.4">
      <c r="A18" s="2" t="s">
        <v>55</v>
      </c>
      <c r="C18" s="46" t="s">
        <v>9</v>
      </c>
    </row>
    <row r="19" spans="1:45" ht="6" customHeight="1" thickTop="1" x14ac:dyDescent="0.35">
      <c r="C19" s="44"/>
    </row>
    <row r="20" spans="1:45" ht="16.5" customHeight="1" thickBot="1" x14ac:dyDescent="0.4">
      <c r="A20" s="2" t="s">
        <v>66</v>
      </c>
      <c r="C20" s="46" t="s">
        <v>8</v>
      </c>
    </row>
    <row r="21" spans="1:45" ht="6" customHeight="1" thickTop="1" x14ac:dyDescent="0.35"/>
    <row r="22" spans="1:45" ht="15" thickBot="1" x14ac:dyDescent="0.4">
      <c r="A22" s="51" t="s">
        <v>14</v>
      </c>
      <c r="B22" s="52"/>
      <c r="C22" s="53"/>
    </row>
    <row r="23" spans="1:45" ht="6" customHeight="1" thickTop="1" x14ac:dyDescent="0.35">
      <c r="A23" s="50"/>
      <c r="B23" s="50"/>
      <c r="C23" s="50"/>
    </row>
    <row r="24" spans="1:45" ht="15.75" customHeight="1" x14ac:dyDescent="0.35">
      <c r="A24" s="54" t="s">
        <v>6</v>
      </c>
      <c r="B24" s="50"/>
      <c r="C24" s="55">
        <f>+VLOOKUP(C6,$A$1019:$B$1027,2,0)</f>
        <v>0.3</v>
      </c>
      <c r="E24" s="20"/>
    </row>
    <row r="25" spans="1:45" ht="6" customHeight="1" x14ac:dyDescent="0.35">
      <c r="A25" s="50"/>
      <c r="B25" s="50"/>
      <c r="C25" s="50"/>
    </row>
    <row r="26" spans="1:45" x14ac:dyDescent="0.35">
      <c r="A26" s="54" t="s">
        <v>10</v>
      </c>
      <c r="B26" s="50"/>
      <c r="C26" s="56">
        <f>+VLOOKUP(C6,A1019:E1027,5,0)</f>
        <v>0</v>
      </c>
      <c r="E26" s="20"/>
    </row>
    <row r="27" spans="1:45" ht="6" customHeight="1" x14ac:dyDescent="0.35">
      <c r="A27" s="50"/>
      <c r="B27" s="50"/>
      <c r="C27" s="50"/>
    </row>
    <row r="28" spans="1:45" x14ac:dyDescent="0.35">
      <c r="A28" s="54" t="s">
        <v>78</v>
      </c>
      <c r="B28" s="50"/>
      <c r="C28" s="56" t="str">
        <f>+CONCATENATE("IPC + ",VLOOKUP($C$6,$A$1019:$D$1027,IF(C8="SI",3,4),0)*100,"%")</f>
        <v>IPC + 9%</v>
      </c>
    </row>
    <row r="29" spans="1:45" ht="3.75" customHeight="1" x14ac:dyDescent="0.35">
      <c r="A29" s="74"/>
      <c r="B29" s="50"/>
      <c r="C29" s="50"/>
    </row>
    <row r="30" spans="1:45" ht="18" customHeight="1" x14ac:dyDescent="0.35">
      <c r="A30" s="76" t="s">
        <v>70</v>
      </c>
      <c r="B30" s="50"/>
      <c r="C30" s="75">
        <f>+(1+C12)*(1+VLOOKUP($C$6,$A$1019:$D$1027,IF(C8="SI",3,4),0))-1</f>
        <v>0.14668000000000014</v>
      </c>
    </row>
    <row r="31" spans="1:45" ht="4.5" customHeight="1" x14ac:dyDescent="0.35">
      <c r="A31" s="50"/>
      <c r="B31" s="50"/>
      <c r="C31" s="50"/>
    </row>
    <row r="32" spans="1:45" x14ac:dyDescent="0.35">
      <c r="A32" s="76" t="s">
        <v>71</v>
      </c>
      <c r="B32" s="50"/>
      <c r="C32" s="75">
        <f>+NOMINAL(C30,12)</f>
        <v>0.13765435417912908</v>
      </c>
    </row>
    <row r="33" spans="1:9" ht="6" customHeight="1" x14ac:dyDescent="0.35">
      <c r="A33" s="50"/>
      <c r="B33" s="50"/>
      <c r="C33" s="50"/>
    </row>
    <row r="34" spans="1:9" x14ac:dyDescent="0.35">
      <c r="A34" s="78" t="s">
        <v>81</v>
      </c>
      <c r="B34" s="50"/>
      <c r="C34" s="77">
        <f>+NOMINAL(C30,12)/12</f>
        <v>1.147119618159409E-2</v>
      </c>
    </row>
    <row r="35" spans="1:9" ht="6" customHeight="1" x14ac:dyDescent="0.35">
      <c r="A35" s="50"/>
      <c r="B35" s="50"/>
      <c r="C35" s="50"/>
    </row>
    <row r="36" spans="1:9" x14ac:dyDescent="0.35">
      <c r="A36" s="54" t="s">
        <v>16</v>
      </c>
      <c r="B36" s="50"/>
      <c r="C36" s="56">
        <f>+IF(OR(C6="Posgrado Exterior",C6="Idiomas, pasantías"),VLOOKUP(C6,$A$1019:$F$1027,6,0),C14*VLOOKUP(C6,$A$1019:$F$1027,6,0)*6)</f>
        <v>9</v>
      </c>
    </row>
    <row r="37" spans="1:9" ht="6" customHeight="1" x14ac:dyDescent="0.35">
      <c r="A37" s="50"/>
      <c r="B37" s="50"/>
      <c r="C37" s="50"/>
    </row>
    <row r="38" spans="1:9" x14ac:dyDescent="0.35">
      <c r="A38" s="54" t="s">
        <v>21</v>
      </c>
      <c r="B38" s="50"/>
      <c r="C38" s="57">
        <f>+IF(C36=0,1,C14+(C26/6)+1)</f>
        <v>2</v>
      </c>
    </row>
    <row r="39" spans="1:9" ht="6" customHeight="1" x14ac:dyDescent="0.35">
      <c r="A39" s="50"/>
      <c r="B39" s="50"/>
      <c r="C39" s="50"/>
    </row>
    <row r="40" spans="1:9" x14ac:dyDescent="0.35">
      <c r="A40" s="54" t="s">
        <v>31</v>
      </c>
      <c r="B40" s="50"/>
      <c r="C40" s="58">
        <f>+(C14*6)+C26+C36</f>
        <v>15</v>
      </c>
    </row>
    <row r="41" spans="1:9" ht="6.75" customHeight="1" x14ac:dyDescent="0.35">
      <c r="A41" s="50"/>
      <c r="B41" s="50"/>
      <c r="C41" s="50"/>
    </row>
    <row r="42" spans="1:9" x14ac:dyDescent="0.35">
      <c r="A42" s="54" t="s">
        <v>40</v>
      </c>
      <c r="B42" s="50"/>
      <c r="C42" s="59">
        <f>+Amortizacion!Y231</f>
        <v>5000000</v>
      </c>
      <c r="E42" t="str">
        <f>+CONCATENATE("Giros por: $",ROUND(C42/1000000,1)," millones")</f>
        <v>Giros por: $5 millones</v>
      </c>
    </row>
    <row r="43" spans="1:9" ht="6.75" customHeight="1" x14ac:dyDescent="0.35">
      <c r="A43" s="50"/>
      <c r="B43" s="50"/>
      <c r="C43" s="50"/>
    </row>
    <row r="44" spans="1:9" x14ac:dyDescent="0.35">
      <c r="A44" s="54" t="s">
        <v>41</v>
      </c>
      <c r="B44" s="50"/>
      <c r="C44" s="59">
        <f>+Amortizacion!U231</f>
        <v>1500000.0000000002</v>
      </c>
      <c r="E44" s="38" t="s">
        <v>51</v>
      </c>
      <c r="G44" s="14">
        <f>+Amortizacion!T2</f>
        <v>260132.69268164976</v>
      </c>
      <c r="I44" t="str">
        <f>+CONCATENATE("Cuota inicial periodo de estudio: ",TEXT(ROUND(G44,0),"$#.#"))</f>
        <v>Cuota inicial periodo de estudio: $260.133</v>
      </c>
    </row>
    <row r="45" spans="1:9" ht="5.25" customHeight="1" x14ac:dyDescent="0.35">
      <c r="A45" s="50"/>
      <c r="B45" s="50"/>
      <c r="C45" s="50"/>
    </row>
    <row r="46" spans="1:9" x14ac:dyDescent="0.35">
      <c r="A46" s="54" t="s">
        <v>23</v>
      </c>
      <c r="B46" s="50"/>
      <c r="C46" s="59">
        <f>+Amortizacion!H231</f>
        <v>240895.14</v>
      </c>
      <c r="E46" t="str">
        <f>+CONCATENATE("Int. periodo de estudio: $",ROUND(C46/1000000,1)," millones")</f>
        <v>Int. periodo de estudio: $0,2 millones</v>
      </c>
    </row>
    <row r="47" spans="1:9" ht="5.25" customHeight="1" x14ac:dyDescent="0.35">
      <c r="A47" s="50"/>
      <c r="B47" s="50"/>
      <c r="C47" s="50"/>
    </row>
    <row r="48" spans="1:9" x14ac:dyDescent="0.35">
      <c r="A48" s="54" t="s">
        <v>22</v>
      </c>
      <c r="B48" s="50"/>
      <c r="C48" s="59">
        <f>+IF(C18="no",C42-C44+C46-Amortizacion!$M$231,C42-C44+C46-Amortizacion!$O$231-Amortizacion!$M$231)</f>
        <v>3740895.14</v>
      </c>
      <c r="E48" s="38" t="s">
        <v>52</v>
      </c>
      <c r="G48" s="14">
        <f>+MAX(Amortizacion!K2:K230)</f>
        <v>439857.81239545939</v>
      </c>
      <c r="I48" t="str">
        <f>+CONCATENATE("Cuota periodo amortización: ",TEXT(ROUND(G48,0),"$#.#"))</f>
        <v>Cuota periodo amortización: $439.858</v>
      </c>
    </row>
    <row r="49" spans="1:3" ht="5.25" customHeight="1" x14ac:dyDescent="0.35">
      <c r="A49" s="50"/>
      <c r="B49" s="50"/>
      <c r="C49" s="50"/>
    </row>
    <row r="50" spans="1:3" x14ac:dyDescent="0.35">
      <c r="A50" s="54" t="s">
        <v>54</v>
      </c>
      <c r="B50" s="50"/>
      <c r="C50" s="59">
        <f>+IF(C24=100%,"N.A",G48/C42*1000000)</f>
        <v>87971.562479091881</v>
      </c>
    </row>
    <row r="51" spans="1:3" ht="5.25" customHeight="1" x14ac:dyDescent="0.35"/>
    <row r="52" spans="1:3" x14ac:dyDescent="0.35">
      <c r="C52" s="20"/>
    </row>
    <row r="54" spans="1:3" x14ac:dyDescent="0.35">
      <c r="C54" s="1"/>
    </row>
    <row r="1016" spans="1:8" ht="15.5" x14ac:dyDescent="0.35">
      <c r="A1016" s="81" t="s">
        <v>8</v>
      </c>
      <c r="B1016" s="81"/>
      <c r="C1016" s="81"/>
      <c r="D1016" s="81"/>
      <c r="E1016" s="81"/>
      <c r="F1016" s="81"/>
      <c r="G1016" s="81"/>
      <c r="H1016" s="81"/>
    </row>
    <row r="1017" spans="1:8" ht="15.5" x14ac:dyDescent="0.35">
      <c r="A1017" s="81" t="s">
        <v>9</v>
      </c>
      <c r="B1017" s="81"/>
      <c r="C1017" s="81"/>
      <c r="D1017" s="81"/>
      <c r="E1017" s="81"/>
      <c r="F1017" s="81"/>
      <c r="G1017" s="81"/>
      <c r="H1017" s="81"/>
    </row>
    <row r="1018" spans="1:8" ht="15.5" x14ac:dyDescent="0.35">
      <c r="A1018" s="81"/>
      <c r="B1018" s="81"/>
      <c r="C1018" s="81" t="s">
        <v>4</v>
      </c>
      <c r="D1018" s="81" t="s">
        <v>83</v>
      </c>
      <c r="E1018" s="82" t="s">
        <v>84</v>
      </c>
      <c r="F1018" s="81" t="s">
        <v>12</v>
      </c>
      <c r="G1018" s="81"/>
      <c r="H1018" s="81"/>
    </row>
    <row r="1019" spans="1:8" ht="15.5" x14ac:dyDescent="0.35">
      <c r="A1019" s="86" t="s">
        <v>0</v>
      </c>
      <c r="B1019" s="85">
        <v>0.3</v>
      </c>
      <c r="C1019" s="85">
        <v>0</v>
      </c>
      <c r="D1019" s="85">
        <v>0.09</v>
      </c>
      <c r="E1019" s="83">
        <v>6</v>
      </c>
      <c r="F1019" s="84">
        <v>1.5</v>
      </c>
      <c r="G1019" s="81"/>
      <c r="H1019" s="81"/>
    </row>
    <row r="1020" spans="1:8" ht="15.5" x14ac:dyDescent="0.35">
      <c r="A1020" s="86" t="s">
        <v>1</v>
      </c>
      <c r="B1020" s="85">
        <v>0.6</v>
      </c>
      <c r="C1020" s="85">
        <v>0</v>
      </c>
      <c r="D1020" s="85">
        <v>7.0000000000000007E-2</v>
      </c>
      <c r="E1020" s="83">
        <v>0</v>
      </c>
      <c r="F1020" s="83">
        <v>1</v>
      </c>
      <c r="G1020" s="81"/>
      <c r="H1020" s="81"/>
    </row>
    <row r="1021" spans="1:8" ht="15.5" x14ac:dyDescent="0.35">
      <c r="A1021" s="86" t="s">
        <v>2</v>
      </c>
      <c r="B1021" s="85">
        <v>1</v>
      </c>
      <c r="C1021" s="85">
        <v>0</v>
      </c>
      <c r="D1021" s="85">
        <v>7.0000000000000007E-2</v>
      </c>
      <c r="E1021" s="83">
        <v>0</v>
      </c>
      <c r="F1021" s="83">
        <v>0</v>
      </c>
      <c r="G1021" s="81"/>
      <c r="H1021" s="81"/>
    </row>
    <row r="1022" spans="1:8" ht="15.5" x14ac:dyDescent="0.35">
      <c r="A1022" s="86" t="s">
        <v>85</v>
      </c>
      <c r="B1022" s="85">
        <v>0.2</v>
      </c>
      <c r="C1022" s="85">
        <v>0</v>
      </c>
      <c r="D1022" s="85">
        <v>0.08</v>
      </c>
      <c r="E1022" s="83">
        <v>0</v>
      </c>
      <c r="F1022" s="83">
        <v>2</v>
      </c>
      <c r="G1022" s="81"/>
      <c r="H1022" s="81"/>
    </row>
    <row r="1023" spans="1:8" ht="15.5" x14ac:dyDescent="0.35">
      <c r="A1023" s="86" t="s">
        <v>87</v>
      </c>
      <c r="B1023" s="85">
        <v>0.4</v>
      </c>
      <c r="C1023" s="85">
        <v>0</v>
      </c>
      <c r="D1023" s="85">
        <v>0.08</v>
      </c>
      <c r="E1023" s="83">
        <v>0</v>
      </c>
      <c r="F1023" s="83">
        <v>2</v>
      </c>
      <c r="G1023" s="81"/>
      <c r="H1023" s="81"/>
    </row>
    <row r="1024" spans="1:8" ht="15.5" x14ac:dyDescent="0.35">
      <c r="A1024" s="86" t="s">
        <v>88</v>
      </c>
      <c r="B1024" s="85">
        <v>0.3</v>
      </c>
      <c r="C1024" s="85">
        <v>0</v>
      </c>
      <c r="D1024" s="85">
        <v>0.09</v>
      </c>
      <c r="E1024" s="83">
        <v>0</v>
      </c>
      <c r="F1024" s="84">
        <v>1.5</v>
      </c>
      <c r="G1024" s="81"/>
      <c r="H1024" s="81"/>
    </row>
    <row r="1025" spans="1:8" ht="15.5" x14ac:dyDescent="0.35">
      <c r="A1025" s="86" t="s">
        <v>86</v>
      </c>
      <c r="B1025" s="85">
        <v>0.4</v>
      </c>
      <c r="C1025" s="85">
        <v>0</v>
      </c>
      <c r="D1025" s="85">
        <v>0.08</v>
      </c>
      <c r="E1025" s="83">
        <v>0</v>
      </c>
      <c r="F1025" s="83">
        <v>2</v>
      </c>
      <c r="G1025" s="81"/>
      <c r="H1025" s="81"/>
    </row>
    <row r="1026" spans="1:8" ht="15.5" x14ac:dyDescent="0.35">
      <c r="A1026" s="86" t="s">
        <v>68</v>
      </c>
      <c r="B1026" s="85">
        <v>0</v>
      </c>
      <c r="C1026" s="85">
        <v>0</v>
      </c>
      <c r="D1026" s="85">
        <v>0.08</v>
      </c>
      <c r="E1026" s="83">
        <v>0</v>
      </c>
      <c r="F1026" s="83">
        <v>60</v>
      </c>
      <c r="G1026" s="81"/>
      <c r="H1026" s="81"/>
    </row>
    <row r="1027" spans="1:8" ht="15.5" x14ac:dyDescent="0.35">
      <c r="A1027" s="86" t="s">
        <v>69</v>
      </c>
      <c r="B1027" s="85">
        <v>0</v>
      </c>
      <c r="C1027" s="85">
        <v>0</v>
      </c>
      <c r="D1027" s="85">
        <v>0.08</v>
      </c>
      <c r="E1027" s="83">
        <v>0</v>
      </c>
      <c r="F1027" s="83">
        <v>60</v>
      </c>
      <c r="G1027" s="81"/>
      <c r="H1027" s="81"/>
    </row>
  </sheetData>
  <sheetProtection algorithmName="SHA-512" hashValue="Lp3u/o4c6Du2F1DfNULuSuppbjrUHAdtaS5QZFGSRsz1pFbNp9OXKtXbAvh1z3wSUI0QbL/zKd+x4Mu+bMyRcg==" saltValue="ku9t558I49DxPf2nXk0INA==" spinCount="100000" sheet="1" objects="1" scenarios="1"/>
  <dataConsolidate/>
  <mergeCells count="20">
    <mergeCell ref="Z6:AA6"/>
    <mergeCell ref="AN6:AO6"/>
    <mergeCell ref="AP6:AQ6"/>
    <mergeCell ref="AL6:AM6"/>
    <mergeCell ref="AD6:AE6"/>
    <mergeCell ref="AF6:AG6"/>
    <mergeCell ref="AH6:AI6"/>
    <mergeCell ref="AJ6:AK6"/>
    <mergeCell ref="E1:AS2"/>
    <mergeCell ref="AB6:AC6"/>
    <mergeCell ref="F6:G6"/>
    <mergeCell ref="H6:I6"/>
    <mergeCell ref="J6:K6"/>
    <mergeCell ref="L6:M6"/>
    <mergeCell ref="N6:O6"/>
    <mergeCell ref="P6:Q6"/>
    <mergeCell ref="R6:S6"/>
    <mergeCell ref="T6:U6"/>
    <mergeCell ref="V6:W6"/>
    <mergeCell ref="X6:Y6"/>
  </mergeCells>
  <conditionalFormatting sqref="F10:AQ10">
    <cfRule type="cellIs" dxfId="7" priority="1" operator="equal">
      <formula>0</formula>
    </cfRule>
    <cfRule type="cellIs" dxfId="6" priority="2" operator="equal">
      <formula>1</formula>
    </cfRule>
  </conditionalFormatting>
  <conditionalFormatting sqref="F12:AQ12">
    <cfRule type="cellIs" dxfId="5" priority="5" operator="equal">
      <formula>0</formula>
    </cfRule>
    <cfRule type="cellIs" dxfId="4" priority="6" operator="equal">
      <formula>1</formula>
    </cfRule>
  </conditionalFormatting>
  <conditionalFormatting sqref="F14:AQ14">
    <cfRule type="cellIs" dxfId="3" priority="3" operator="equal">
      <formula>0</formula>
    </cfRule>
    <cfRule type="cellIs" dxfId="2" priority="4" operator="equal">
      <formula>1</formula>
    </cfRule>
  </conditionalFormatting>
  <conditionalFormatting sqref="F16:AQ16">
    <cfRule type="cellIs" dxfId="1" priority="7" operator="equal">
      <formula>0</formula>
    </cfRule>
    <cfRule type="cellIs" dxfId="0" priority="8" operator="equal">
      <formula>1</formula>
    </cfRule>
  </conditionalFormatting>
  <dataValidations xWindow="279" yWindow="248" count="5">
    <dataValidation type="list" allowBlank="1" showInputMessage="1" showErrorMessage="1" promptTitle="Subsidio" prompt="Verificar condiciones para acceder al subsidio_x000a_" sqref="C8" xr:uid="{00000000-0002-0000-0000-000001000000}">
      <formula1>$A$1016:$A$1017</formula1>
    </dataValidation>
    <dataValidation type="whole" allowBlank="1" showInputMessage="1" showErrorMessage="1" prompt="Se debe escoger mínimo 1 semestre y máximo 12 semestres" sqref="C14" xr:uid="{00000000-0002-0000-0000-000002000000}">
      <formula1>1</formula1>
      <formula2>12</formula2>
    </dataValidation>
    <dataValidation type="list" allowBlank="1" showInputMessage="1" showErrorMessage="1" promptTitle="Pago de intereses" prompt="SI: Los intereses del periodo de estudios se cobran en el periodo de amortización_x000a_NO: Los intereses que se van causando se pagan durante el periodo de estudios" sqref="C20" xr:uid="{00000000-0002-0000-0000-000003000000}">
      <formula1>$A$1016:$A$1017</formula1>
    </dataValidation>
    <dataValidation type="list" allowBlank="1" showInputMessage="1" showErrorMessage="1" promptTitle="Condonación" prompt="Verificar condiciones para acceder al subsidio y a la condonación del 25% por graduación_x000a_" sqref="C18" xr:uid="{58FC55B3-AB99-4C98-9383-2A2EF9544BCF}">
      <formula1>$A$1016:$A$1017</formula1>
    </dataValidation>
    <dataValidation type="list" allowBlank="1" showInputMessage="1" showErrorMessage="1" promptTitle="Línea" prompt="Escoger línea de crédito" sqref="C6" xr:uid="{00000000-0002-0000-0000-000000000000}">
      <formula1>$A$1019:$A$1027</formula1>
    </dataValidation>
  </dataValidations>
  <printOptions horizontalCentered="1" verticalCentered="1"/>
  <pageMargins left="0.39370078740157483" right="0.39370078740157483" top="0.39370078740157483" bottom="0.39370078740157483" header="0.31496062992125984" footer="0.31496062992125984"/>
  <pageSetup scale="62"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97AB1-916F-4B31-BDD2-20AA49667C2F}">
  <dimension ref="A1:L227"/>
  <sheetViews>
    <sheetView showGridLines="0" topLeftCell="A2" zoomScale="85" zoomScaleNormal="85" workbookViewId="0">
      <selection activeCell="H13" sqref="H13"/>
    </sheetView>
  </sheetViews>
  <sheetFormatPr baseColWidth="10" defaultColWidth="11.453125" defaultRowHeight="14.5" x14ac:dyDescent="0.35"/>
  <cols>
    <col min="1" max="1" width="11.453125" style="50"/>
    <col min="2" max="2" width="13.1796875" style="50" bestFit="1" customWidth="1"/>
    <col min="3" max="3" width="14.81640625" style="50" hidden="1" customWidth="1"/>
    <col min="4" max="4" width="14" style="50" hidden="1" customWidth="1"/>
    <col min="5" max="5" width="12.81640625" style="50" customWidth="1"/>
    <col min="6" max="7" width="12.81640625" style="50" bestFit="1" customWidth="1"/>
    <col min="8" max="8" width="12.81640625" style="50" customWidth="1"/>
    <col min="9" max="9" width="12.54296875" style="50" bestFit="1" customWidth="1"/>
    <col min="10" max="16384" width="11.453125" style="50"/>
  </cols>
  <sheetData>
    <row r="1" spans="1:12" ht="5.25" customHeight="1" x14ac:dyDescent="0.35"/>
    <row r="2" spans="1:12" ht="105" customHeight="1" x14ac:dyDescent="0.35">
      <c r="A2" s="91" t="s">
        <v>77</v>
      </c>
      <c r="B2" s="92"/>
      <c r="C2" s="92"/>
      <c r="D2" s="92"/>
      <c r="E2" s="92"/>
      <c r="F2" s="92"/>
      <c r="G2" s="92"/>
      <c r="H2" s="92"/>
      <c r="I2" s="93"/>
      <c r="J2" s="61"/>
    </row>
    <row r="3" spans="1:12" ht="18.5" x14ac:dyDescent="0.45">
      <c r="A3" s="62" t="str">
        <f>+"Tabla de amortización simulación "&amp;Resumen!C6</f>
        <v>Tabla de amortización simulación Línea Educ. para el Trabajo y el Desarrollo Humano (ETDH)</v>
      </c>
      <c r="K3" s="63" t="s">
        <v>73</v>
      </c>
      <c r="L3" s="64">
        <v>1</v>
      </c>
    </row>
    <row r="4" spans="1:12" x14ac:dyDescent="0.35">
      <c r="A4" s="50" t="s">
        <v>72</v>
      </c>
      <c r="B4" s="50" t="s">
        <v>73</v>
      </c>
      <c r="K4" s="63" t="s">
        <v>75</v>
      </c>
      <c r="L4" s="64">
        <v>1000</v>
      </c>
    </row>
    <row r="5" spans="1:12" x14ac:dyDescent="0.35">
      <c r="A5" s="64">
        <f>+VLOOKUP(B4,$K$3:$L$4,2,0)</f>
        <v>1</v>
      </c>
      <c r="F5" s="90" t="s">
        <v>76</v>
      </c>
      <c r="G5" s="90"/>
      <c r="H5" s="90"/>
    </row>
    <row r="6" spans="1:12" ht="43.5" x14ac:dyDescent="0.35">
      <c r="A6" s="65" t="s">
        <v>24</v>
      </c>
      <c r="B6" s="65" t="s">
        <v>58</v>
      </c>
      <c r="C6" s="65" t="s">
        <v>74</v>
      </c>
      <c r="D6" s="65" t="s">
        <v>59</v>
      </c>
      <c r="E6" s="65" t="s">
        <v>56</v>
      </c>
      <c r="F6" s="65" t="s">
        <v>57</v>
      </c>
      <c r="G6" s="65" t="s">
        <v>53</v>
      </c>
      <c r="H6" s="65" t="s">
        <v>65</v>
      </c>
      <c r="I6" s="66"/>
    </row>
    <row r="7" spans="1:12" x14ac:dyDescent="0.35">
      <c r="A7" s="67">
        <v>1</v>
      </c>
      <c r="B7" s="68">
        <f>-Amortizacion!Y2/$A$5</f>
        <v>-5000000</v>
      </c>
      <c r="C7" s="68">
        <f>-Amortizacion!H2/$A$5</f>
        <v>-40149.19</v>
      </c>
      <c r="D7" s="68">
        <f>(-Amortizacion!I2-Amortizacion!R2)/$A$5</f>
        <v>-17206.794272391136</v>
      </c>
      <c r="E7" s="68">
        <f>Amortizacion!O2/$A$5</f>
        <v>0</v>
      </c>
      <c r="F7" s="68">
        <f>(+Amortizacion!L2+Amortizacion!U2)/$A$5</f>
        <v>242925.89840925863</v>
      </c>
      <c r="G7" s="68">
        <f>Amortizacion!AA2/$A$5</f>
        <v>17206.794272391136</v>
      </c>
      <c r="H7" s="69">
        <f>+F7+G7</f>
        <v>260132.69268164976</v>
      </c>
      <c r="I7" s="70"/>
    </row>
    <row r="8" spans="1:12" x14ac:dyDescent="0.35">
      <c r="A8" s="67">
        <v>2</v>
      </c>
      <c r="B8" s="68">
        <f>-Amortizacion!Y3/$A$5</f>
        <v>0</v>
      </c>
      <c r="C8" s="68">
        <f>-Amortizacion!H3/$A$5</f>
        <v>-40149.19</v>
      </c>
      <c r="D8" s="68">
        <f>(-Amortizacion!I3-Amortizacion!R3)/$A$5</f>
        <v>-14420.143634148533</v>
      </c>
      <c r="E8" s="68">
        <f>Amortizacion!O3/$A$5</f>
        <v>0</v>
      </c>
      <c r="F8" s="68">
        <f>(+Amortizacion!L3+Amortizacion!U3)/$A$5</f>
        <v>245712.54904750129</v>
      </c>
      <c r="G8" s="68">
        <f>Amortizacion!AA3/$A$5</f>
        <v>14420.143634148533</v>
      </c>
      <c r="H8" s="69">
        <f t="shared" ref="H8:H71" si="0">+F8+G8</f>
        <v>260132.69268164982</v>
      </c>
      <c r="I8" s="70"/>
    </row>
    <row r="9" spans="1:12" x14ac:dyDescent="0.35">
      <c r="A9" s="67">
        <v>3</v>
      </c>
      <c r="B9" s="68">
        <f>-Amortizacion!Y4/$A$5</f>
        <v>0</v>
      </c>
      <c r="C9" s="68">
        <f>-Amortizacion!H4/$A$5</f>
        <v>-40149.19</v>
      </c>
      <c r="D9" s="68">
        <f>(-Amortizacion!I4-Amortizacion!R4)/$A$5</f>
        <v>-11601.526779745087</v>
      </c>
      <c r="E9" s="68">
        <f>Amortizacion!O4/$A$5</f>
        <v>0</v>
      </c>
      <c r="F9" s="68">
        <f>(+Amortizacion!L4+Amortizacion!U4)/$A$5</f>
        <v>248531.16590190472</v>
      </c>
      <c r="G9" s="68">
        <f>Amortizacion!AA4/$A$5</f>
        <v>11601.526779745087</v>
      </c>
      <c r="H9" s="69">
        <f t="shared" si="0"/>
        <v>260132.69268164982</v>
      </c>
      <c r="I9" s="70"/>
    </row>
    <row r="10" spans="1:12" x14ac:dyDescent="0.35">
      <c r="A10" s="67">
        <v>4</v>
      </c>
      <c r="B10" s="68">
        <f>-Amortizacion!Y5/$A$5</f>
        <v>0</v>
      </c>
      <c r="C10" s="68">
        <f>-Amortizacion!H5/$A$5</f>
        <v>-40149.19</v>
      </c>
      <c r="D10" s="68">
        <f>(-Amortizacion!I5-Amortizacion!R5)/$A$5</f>
        <v>-8750.5770184440298</v>
      </c>
      <c r="E10" s="68">
        <f>Amortizacion!O5/$A$5</f>
        <v>0</v>
      </c>
      <c r="F10" s="68">
        <f>(+Amortizacion!L5+Amortizacion!U5)/$A$5</f>
        <v>251382.11566320583</v>
      </c>
      <c r="G10" s="68">
        <f>Amortizacion!AA5/$A$5</f>
        <v>8750.5770184440298</v>
      </c>
      <c r="H10" s="69">
        <f t="shared" si="0"/>
        <v>260132.69268164985</v>
      </c>
      <c r="I10" s="70"/>
    </row>
    <row r="11" spans="1:12" x14ac:dyDescent="0.35">
      <c r="A11" s="67">
        <v>5</v>
      </c>
      <c r="B11" s="68">
        <f>-Amortizacion!Y6/$A$5</f>
        <v>0</v>
      </c>
      <c r="C11" s="68">
        <f>-Amortizacion!H6/$A$5</f>
        <v>-40149.19</v>
      </c>
      <c r="D11" s="68">
        <f>(-Amortizacion!I6-Amortizacion!R6)/$A$5</f>
        <v>-5866.9234531272195</v>
      </c>
      <c r="E11" s="68">
        <f>Amortizacion!O6/$A$5</f>
        <v>0</v>
      </c>
      <c r="F11" s="68">
        <f>(+Amortizacion!L6+Amortizacion!U6)/$A$5</f>
        <v>254265.76922852261</v>
      </c>
      <c r="G11" s="68">
        <f>Amortizacion!AA6/$A$5</f>
        <v>5866.9234531272195</v>
      </c>
      <c r="H11" s="69">
        <f t="shared" si="0"/>
        <v>260132.69268164982</v>
      </c>
      <c r="I11" s="70"/>
    </row>
    <row r="12" spans="1:12" x14ac:dyDescent="0.35">
      <c r="A12" s="67">
        <v>6</v>
      </c>
      <c r="B12" s="68">
        <f>-Amortizacion!Y7/$A$5</f>
        <v>0</v>
      </c>
      <c r="C12" s="68">
        <f>-Amortizacion!H7/$A$5</f>
        <v>-40149.19</v>
      </c>
      <c r="D12" s="68">
        <f>(-Amortizacion!I7-Amortizacion!R7)/$A$5</f>
        <v>-2950.1909320429068</v>
      </c>
      <c r="E12" s="68">
        <f>Amortizacion!O7/$A$5</f>
        <v>0</v>
      </c>
      <c r="F12" s="68">
        <f>(+Amortizacion!L7+Amortizacion!U7)/$A$5</f>
        <v>257182.50174960695</v>
      </c>
      <c r="G12" s="68">
        <f>Amortizacion!AA7/$A$5</f>
        <v>2950.1909320429068</v>
      </c>
      <c r="H12" s="69">
        <f t="shared" si="0"/>
        <v>260132.69268164985</v>
      </c>
      <c r="I12" s="70"/>
    </row>
    <row r="13" spans="1:12" x14ac:dyDescent="0.35">
      <c r="A13" s="67">
        <v>7</v>
      </c>
      <c r="B13" s="68">
        <f>-Amortizacion!Y8/$A$5</f>
        <v>0</v>
      </c>
      <c r="C13" s="68">
        <f>-Amortizacion!H8/$A$5</f>
        <v>0</v>
      </c>
      <c r="D13" s="68">
        <f>(-Amortizacion!I8-Amortizacion!R8)/$A$5</f>
        <v>-42912.542045711882</v>
      </c>
      <c r="E13" s="68">
        <f>Amortizacion!O8/$A$5</f>
        <v>0</v>
      </c>
      <c r="F13" s="68">
        <f>(+Amortizacion!L8+Amortizacion!U8)/$A$5</f>
        <v>396945.27034974733</v>
      </c>
      <c r="G13" s="68">
        <f>Amortizacion!AA8/$A$5</f>
        <v>42912.542045711882</v>
      </c>
      <c r="H13" s="69">
        <f t="shared" si="0"/>
        <v>439857.81239545922</v>
      </c>
      <c r="I13" s="70"/>
    </row>
    <row r="14" spans="1:12" x14ac:dyDescent="0.35">
      <c r="A14" s="67">
        <v>8</v>
      </c>
      <c r="B14" s="68">
        <f>-Amortizacion!Y9/$A$5</f>
        <v>0</v>
      </c>
      <c r="C14" s="68">
        <f>-Amortizacion!H9/$A$5</f>
        <v>0</v>
      </c>
      <c r="D14" s="68">
        <f>(-Amortizacion!I9-Amortizacion!R9)/$A$5</f>
        <v>-38359.104976174029</v>
      </c>
      <c r="E14" s="68">
        <f>Amortizacion!O9/$A$5</f>
        <v>0</v>
      </c>
      <c r="F14" s="68">
        <f>(+Amortizacion!L9+Amortizacion!U9)/$A$5</f>
        <v>401498.70741928532</v>
      </c>
      <c r="G14" s="68">
        <f>Amortizacion!AA9/$A$5</f>
        <v>38359.104976174029</v>
      </c>
      <c r="H14" s="69">
        <f t="shared" si="0"/>
        <v>439857.81239545933</v>
      </c>
      <c r="I14" s="70"/>
    </row>
    <row r="15" spans="1:12" x14ac:dyDescent="0.35">
      <c r="A15" s="67">
        <v>9</v>
      </c>
      <c r="B15" s="68">
        <f>-Amortizacion!Y10/$A$5</f>
        <v>0</v>
      </c>
      <c r="C15" s="68">
        <f>-Amortizacion!H10/$A$5</f>
        <v>0</v>
      </c>
      <c r="D15" s="68">
        <f>(-Amortizacion!I10-Amortizacion!R10)/$A$5</f>
        <v>-33753.434536710956</v>
      </c>
      <c r="E15" s="68">
        <f>Amortizacion!O10/$A$5</f>
        <v>0</v>
      </c>
      <c r="F15" s="68">
        <f>(+Amortizacion!L10+Amortizacion!U10)/$A$5</f>
        <v>406104.37785874837</v>
      </c>
      <c r="G15" s="68">
        <f>Amortizacion!AA10/$A$5</f>
        <v>33753.434536710956</v>
      </c>
      <c r="H15" s="69">
        <f t="shared" si="0"/>
        <v>439857.81239545933</v>
      </c>
      <c r="I15" s="70"/>
    </row>
    <row r="16" spans="1:12" x14ac:dyDescent="0.35">
      <c r="A16" s="67">
        <v>10</v>
      </c>
      <c r="B16" s="68">
        <f>-Amortizacion!Y11/$A$5</f>
        <v>0</v>
      </c>
      <c r="C16" s="68">
        <f>-Amortizacion!H11/$A$5</f>
        <v>0</v>
      </c>
      <c r="D16" s="68">
        <f>(-Amortizacion!I11-Amortizacion!R11)/$A$5</f>
        <v>-29094.93154808904</v>
      </c>
      <c r="E16" s="68">
        <f>Amortizacion!O11/$A$5</f>
        <v>0</v>
      </c>
      <c r="F16" s="68">
        <f>(+Amortizacion!L11+Amortizacion!U11)/$A$5</f>
        <v>410762.88084737031</v>
      </c>
      <c r="G16" s="68">
        <f>Amortizacion!AA11/$A$5</f>
        <v>29094.93154808904</v>
      </c>
      <c r="H16" s="69">
        <f t="shared" si="0"/>
        <v>439857.81239545933</v>
      </c>
      <c r="I16" s="70"/>
    </row>
    <row r="17" spans="1:9" x14ac:dyDescent="0.35">
      <c r="A17" s="67">
        <v>11</v>
      </c>
      <c r="B17" s="68">
        <f>-Amortizacion!Y12/$A$5</f>
        <v>0</v>
      </c>
      <c r="C17" s="68">
        <f>-Amortizacion!H12/$A$5</f>
        <v>0</v>
      </c>
      <c r="D17" s="68">
        <f>(-Amortizacion!I12-Amortizacion!R12)/$A$5</f>
        <v>-24382.989957772097</v>
      </c>
      <c r="E17" s="68">
        <f>Amortizacion!O12/$A$5</f>
        <v>0</v>
      </c>
      <c r="F17" s="68">
        <f>(+Amortizacion!L12+Amortizacion!U12)/$A$5</f>
        <v>415474.82243768725</v>
      </c>
      <c r="G17" s="68">
        <f>Amortizacion!AA12/$A$5</f>
        <v>24382.989957772097</v>
      </c>
      <c r="H17" s="69">
        <f t="shared" si="0"/>
        <v>439857.81239545933</v>
      </c>
      <c r="I17" s="70"/>
    </row>
    <row r="18" spans="1:9" x14ac:dyDescent="0.35">
      <c r="A18" s="67">
        <v>12</v>
      </c>
      <c r="B18" s="68">
        <f>-Amortizacion!Y13/$A$5</f>
        <v>0</v>
      </c>
      <c r="C18" s="68">
        <f>-Amortizacion!H13/$A$5</f>
        <v>0</v>
      </c>
      <c r="D18" s="68">
        <f>(-Amortizacion!I13-Amortizacion!R13)/$A$5</f>
        <v>-19616.996761076418</v>
      </c>
      <c r="E18" s="68">
        <f>Amortizacion!O13/$A$5</f>
        <v>0</v>
      </c>
      <c r="F18" s="68">
        <f>(+Amortizacion!L13+Amortizacion!U13)/$A$5</f>
        <v>420240.81563438289</v>
      </c>
      <c r="G18" s="68">
        <f>Amortizacion!AA13/$A$5</f>
        <v>19616.996761076418</v>
      </c>
      <c r="H18" s="69">
        <f t="shared" si="0"/>
        <v>439857.81239545933</v>
      </c>
      <c r="I18" s="70"/>
    </row>
    <row r="19" spans="1:9" x14ac:dyDescent="0.35">
      <c r="A19" s="67">
        <v>13</v>
      </c>
      <c r="B19" s="68">
        <f>-Amortizacion!Y14/$A$5</f>
        <v>0</v>
      </c>
      <c r="C19" s="68">
        <f>-Amortizacion!H14/$A$5</f>
        <v>0</v>
      </c>
      <c r="D19" s="68">
        <f>(-Amortizacion!I14-Amortizacion!R14)/$A$5</f>
        <v>-14796.331921421299</v>
      </c>
      <c r="E19" s="68">
        <f>Amortizacion!O14/$A$5</f>
        <v>0</v>
      </c>
      <c r="F19" s="68">
        <f>(+Amortizacion!L14+Amortizacion!U14)/$A$5</f>
        <v>425061.48047403805</v>
      </c>
      <c r="G19" s="68">
        <f>Amortizacion!AA14/$A$5</f>
        <v>14796.331921421299</v>
      </c>
      <c r="H19" s="69">
        <f t="shared" si="0"/>
        <v>439857.81239545933</v>
      </c>
      <c r="I19" s="70"/>
    </row>
    <row r="20" spans="1:9" x14ac:dyDescent="0.35">
      <c r="A20" s="67">
        <v>14</v>
      </c>
      <c r="B20" s="68">
        <f>-Amortizacion!Y15/$A$5</f>
        <v>0</v>
      </c>
      <c r="C20" s="68">
        <f>-Amortizacion!H15/$A$5</f>
        <v>0</v>
      </c>
      <c r="D20" s="68">
        <f>(-Amortizacion!I15-Amortizacion!R15)/$A$5</f>
        <v>-9920.3682896647824</v>
      </c>
      <c r="E20" s="68">
        <f>Amortizacion!O15/$A$5</f>
        <v>0</v>
      </c>
      <c r="F20" s="68">
        <f>(+Amortizacion!L15+Amortizacion!U15)/$A$5</f>
        <v>429937.44410579454</v>
      </c>
      <c r="G20" s="68">
        <f>Amortizacion!AA15/$A$5</f>
        <v>9920.3682896647824</v>
      </c>
      <c r="H20" s="69">
        <f t="shared" si="0"/>
        <v>439857.81239545933</v>
      </c>
      <c r="I20" s="70"/>
    </row>
    <row r="21" spans="1:9" x14ac:dyDescent="0.35">
      <c r="A21" s="67">
        <v>15</v>
      </c>
      <c r="B21" s="68">
        <f>-Amortizacion!Y16/$A$5</f>
        <v>0</v>
      </c>
      <c r="C21" s="68">
        <f>-Amortizacion!H16/$A$5</f>
        <v>0</v>
      </c>
      <c r="D21" s="68">
        <f>(-Amortizacion!I16-Amortizacion!R16)/$A$5</f>
        <v>-4988.4715225140699</v>
      </c>
      <c r="E21" s="68">
        <f>Amortizacion!O16/$A$5</f>
        <v>0</v>
      </c>
      <c r="F21" s="68">
        <f>(+Amortizacion!L16+Amortizacion!U16)/$A$5</f>
        <v>434869.34087294532</v>
      </c>
      <c r="G21" s="68">
        <f>Amortizacion!AA16/$A$5</f>
        <v>4988.4715225140699</v>
      </c>
      <c r="H21" s="69">
        <f t="shared" si="0"/>
        <v>439857.81239545939</v>
      </c>
      <c r="I21" s="70"/>
    </row>
    <row r="22" spans="1:9" x14ac:dyDescent="0.35">
      <c r="A22" s="67">
        <v>16</v>
      </c>
      <c r="B22" s="68">
        <f>-Amortizacion!Y17/$A$5</f>
        <v>0</v>
      </c>
      <c r="C22" s="68">
        <f>-Amortizacion!H17/$A$5</f>
        <v>0</v>
      </c>
      <c r="D22" s="68">
        <f>(-Amortizacion!I17-Amortizacion!R17)/$A$5</f>
        <v>0</v>
      </c>
      <c r="E22" s="68">
        <f>Amortizacion!O17/$A$5</f>
        <v>0</v>
      </c>
      <c r="F22" s="68">
        <f>(+Amortizacion!L17+Amortizacion!U17)/$A$5</f>
        <v>0</v>
      </c>
      <c r="G22" s="68">
        <f>Amortizacion!AA17/$A$5</f>
        <v>0</v>
      </c>
      <c r="H22" s="69">
        <f t="shared" si="0"/>
        <v>0</v>
      </c>
      <c r="I22" s="70"/>
    </row>
    <row r="23" spans="1:9" x14ac:dyDescent="0.35">
      <c r="A23" s="67">
        <v>17</v>
      </c>
      <c r="B23" s="68">
        <f>-Amortizacion!Y18/$A$5</f>
        <v>0</v>
      </c>
      <c r="C23" s="68">
        <f>-Amortizacion!H18/$A$5</f>
        <v>0</v>
      </c>
      <c r="D23" s="68">
        <f>(-Amortizacion!I18-Amortizacion!R18)/$A$5</f>
        <v>0</v>
      </c>
      <c r="E23" s="68">
        <f>Amortizacion!O18/$A$5</f>
        <v>0</v>
      </c>
      <c r="F23" s="68">
        <f>(+Amortizacion!L18+Amortizacion!U18)/$A$5</f>
        <v>0</v>
      </c>
      <c r="G23" s="68">
        <f>Amortizacion!AA18/$A$5</f>
        <v>0</v>
      </c>
      <c r="H23" s="69">
        <f t="shared" si="0"/>
        <v>0</v>
      </c>
      <c r="I23" s="70"/>
    </row>
    <row r="24" spans="1:9" x14ac:dyDescent="0.35">
      <c r="A24" s="67">
        <v>18</v>
      </c>
      <c r="B24" s="68">
        <f>-Amortizacion!Y19/$A$5</f>
        <v>0</v>
      </c>
      <c r="C24" s="68">
        <f>-Amortizacion!H19/$A$5</f>
        <v>0</v>
      </c>
      <c r="D24" s="68">
        <f>(-Amortizacion!I19-Amortizacion!R19)/$A$5</f>
        <v>0</v>
      </c>
      <c r="E24" s="68">
        <f>Amortizacion!O19/$A$5</f>
        <v>0</v>
      </c>
      <c r="F24" s="68">
        <f>(+Amortizacion!L19+Amortizacion!U19)/$A$5</f>
        <v>0</v>
      </c>
      <c r="G24" s="68">
        <f>Amortizacion!AA19/$A$5</f>
        <v>0</v>
      </c>
      <c r="H24" s="69">
        <f t="shared" si="0"/>
        <v>0</v>
      </c>
      <c r="I24" s="70"/>
    </row>
    <row r="25" spans="1:9" x14ac:dyDescent="0.35">
      <c r="A25" s="67">
        <v>19</v>
      </c>
      <c r="B25" s="68">
        <f>-Amortizacion!Y20/$A$5</f>
        <v>0</v>
      </c>
      <c r="C25" s="68">
        <f>-Amortizacion!H20/$A$5</f>
        <v>0</v>
      </c>
      <c r="D25" s="68">
        <f>(-Amortizacion!I20-Amortizacion!R20)/$A$5</f>
        <v>0</v>
      </c>
      <c r="E25" s="68">
        <f>Amortizacion!O20/$A$5</f>
        <v>0</v>
      </c>
      <c r="F25" s="68">
        <f>(+Amortizacion!L20+Amortizacion!U20)/$A$5</f>
        <v>0</v>
      </c>
      <c r="G25" s="68">
        <f>Amortizacion!AA20/$A$5</f>
        <v>0</v>
      </c>
      <c r="H25" s="69">
        <f t="shared" si="0"/>
        <v>0</v>
      </c>
      <c r="I25" s="70"/>
    </row>
    <row r="26" spans="1:9" x14ac:dyDescent="0.35">
      <c r="A26" s="67">
        <v>20</v>
      </c>
      <c r="B26" s="68">
        <f>-Amortizacion!Y21/$A$5</f>
        <v>0</v>
      </c>
      <c r="C26" s="68">
        <f>-Amortizacion!H21/$A$5</f>
        <v>0</v>
      </c>
      <c r="D26" s="68">
        <f>(-Amortizacion!I21-Amortizacion!R21)/$A$5</f>
        <v>0</v>
      </c>
      <c r="E26" s="68">
        <f>Amortizacion!O21/$A$5</f>
        <v>0</v>
      </c>
      <c r="F26" s="68">
        <f>(+Amortizacion!L21+Amortizacion!U21)/$A$5</f>
        <v>0</v>
      </c>
      <c r="G26" s="68">
        <f>Amortizacion!AA21/$A$5</f>
        <v>0</v>
      </c>
      <c r="H26" s="69">
        <f t="shared" si="0"/>
        <v>0</v>
      </c>
      <c r="I26" s="70"/>
    </row>
    <row r="27" spans="1:9" x14ac:dyDescent="0.35">
      <c r="A27" s="67">
        <v>21</v>
      </c>
      <c r="B27" s="68">
        <f>-Amortizacion!Y22/$A$5</f>
        <v>0</v>
      </c>
      <c r="C27" s="68">
        <f>-Amortizacion!H22/$A$5</f>
        <v>0</v>
      </c>
      <c r="D27" s="68">
        <f>(-Amortizacion!I22-Amortizacion!R22)/$A$5</f>
        <v>0</v>
      </c>
      <c r="E27" s="68">
        <f>Amortizacion!O22/$A$5</f>
        <v>0</v>
      </c>
      <c r="F27" s="68">
        <f>(+Amortizacion!L22+Amortizacion!U22)/$A$5</f>
        <v>0</v>
      </c>
      <c r="G27" s="68">
        <f>Amortizacion!AA22/$A$5</f>
        <v>0</v>
      </c>
      <c r="H27" s="69">
        <f t="shared" si="0"/>
        <v>0</v>
      </c>
      <c r="I27" s="70"/>
    </row>
    <row r="28" spans="1:9" x14ac:dyDescent="0.35">
      <c r="A28" s="67">
        <v>22</v>
      </c>
      <c r="B28" s="68">
        <f>-Amortizacion!Y23/$A$5</f>
        <v>0</v>
      </c>
      <c r="C28" s="68">
        <f>-Amortizacion!H23/$A$5</f>
        <v>0</v>
      </c>
      <c r="D28" s="68">
        <f>(-Amortizacion!I23-Amortizacion!R23)/$A$5</f>
        <v>0</v>
      </c>
      <c r="E28" s="68">
        <f>Amortizacion!O23/$A$5</f>
        <v>0</v>
      </c>
      <c r="F28" s="68">
        <f>(+Amortizacion!L23+Amortizacion!U23)/$A$5</f>
        <v>0</v>
      </c>
      <c r="G28" s="68">
        <f>Amortizacion!AA23/$A$5</f>
        <v>0</v>
      </c>
      <c r="H28" s="69">
        <f t="shared" si="0"/>
        <v>0</v>
      </c>
      <c r="I28" s="70"/>
    </row>
    <row r="29" spans="1:9" x14ac:dyDescent="0.35">
      <c r="A29" s="67">
        <v>23</v>
      </c>
      <c r="B29" s="68">
        <f>-Amortizacion!Y24/$A$5</f>
        <v>0</v>
      </c>
      <c r="C29" s="68">
        <f>-Amortizacion!H24/$A$5</f>
        <v>0</v>
      </c>
      <c r="D29" s="68">
        <f>(-Amortizacion!I24-Amortizacion!R24)/$A$5</f>
        <v>0</v>
      </c>
      <c r="E29" s="68">
        <f>Amortizacion!O24/$A$5</f>
        <v>0</v>
      </c>
      <c r="F29" s="68">
        <f>(+Amortizacion!L24+Amortizacion!U24)/$A$5</f>
        <v>0</v>
      </c>
      <c r="G29" s="68">
        <f>Amortizacion!AA24/$A$5</f>
        <v>0</v>
      </c>
      <c r="H29" s="69">
        <f t="shared" si="0"/>
        <v>0</v>
      </c>
      <c r="I29" s="70"/>
    </row>
    <row r="30" spans="1:9" x14ac:dyDescent="0.35">
      <c r="A30" s="67">
        <v>24</v>
      </c>
      <c r="B30" s="68">
        <f>-Amortizacion!Y25/$A$5</f>
        <v>0</v>
      </c>
      <c r="C30" s="68">
        <f>-Amortizacion!H25/$A$5</f>
        <v>0</v>
      </c>
      <c r="D30" s="68">
        <f>(-Amortizacion!I25-Amortizacion!R25)/$A$5</f>
        <v>0</v>
      </c>
      <c r="E30" s="68">
        <f>Amortizacion!O25/$A$5</f>
        <v>0</v>
      </c>
      <c r="F30" s="68">
        <f>(+Amortizacion!L25+Amortizacion!U25)/$A$5</f>
        <v>0</v>
      </c>
      <c r="G30" s="68">
        <f>Amortizacion!AA25/$A$5</f>
        <v>0</v>
      </c>
      <c r="H30" s="69">
        <f t="shared" si="0"/>
        <v>0</v>
      </c>
      <c r="I30" s="70"/>
    </row>
    <row r="31" spans="1:9" x14ac:dyDescent="0.35">
      <c r="A31" s="67">
        <v>25</v>
      </c>
      <c r="B31" s="68">
        <f>-Amortizacion!Y26/$A$5</f>
        <v>0</v>
      </c>
      <c r="C31" s="68">
        <f>-Amortizacion!H26/$A$5</f>
        <v>0</v>
      </c>
      <c r="D31" s="68">
        <f>(-Amortizacion!I26-Amortizacion!R26)/$A$5</f>
        <v>0</v>
      </c>
      <c r="E31" s="68">
        <f>Amortizacion!O26/$A$5</f>
        <v>0</v>
      </c>
      <c r="F31" s="68">
        <f>(+Amortizacion!L26+Amortizacion!U26)/$A$5</f>
        <v>0</v>
      </c>
      <c r="G31" s="68">
        <f>Amortizacion!AA26/$A$5</f>
        <v>0</v>
      </c>
      <c r="H31" s="69">
        <f t="shared" si="0"/>
        <v>0</v>
      </c>
      <c r="I31" s="70"/>
    </row>
    <row r="32" spans="1:9" x14ac:dyDescent="0.35">
      <c r="A32" s="67">
        <v>26</v>
      </c>
      <c r="B32" s="68">
        <f>-Amortizacion!Y27/$A$5</f>
        <v>0</v>
      </c>
      <c r="C32" s="68">
        <f>-Amortizacion!H27/$A$5</f>
        <v>0</v>
      </c>
      <c r="D32" s="68">
        <f>(-Amortizacion!I27-Amortizacion!R27)/$A$5</f>
        <v>0</v>
      </c>
      <c r="E32" s="68">
        <f>Amortizacion!O27/$A$5</f>
        <v>0</v>
      </c>
      <c r="F32" s="68">
        <f>(+Amortizacion!L27+Amortizacion!U27)/$A$5</f>
        <v>0</v>
      </c>
      <c r="G32" s="68">
        <f>Amortizacion!AA27/$A$5</f>
        <v>0</v>
      </c>
      <c r="H32" s="69">
        <f t="shared" si="0"/>
        <v>0</v>
      </c>
      <c r="I32" s="70"/>
    </row>
    <row r="33" spans="1:9" x14ac:dyDescent="0.35">
      <c r="A33" s="67">
        <v>27</v>
      </c>
      <c r="B33" s="68">
        <f>-Amortizacion!Y28/$A$5</f>
        <v>0</v>
      </c>
      <c r="C33" s="68">
        <f>-Amortizacion!H28/$A$5</f>
        <v>0</v>
      </c>
      <c r="D33" s="68">
        <f>(-Amortizacion!I28-Amortizacion!R28)/$A$5</f>
        <v>0</v>
      </c>
      <c r="E33" s="68">
        <f>Amortizacion!O28/$A$5</f>
        <v>0</v>
      </c>
      <c r="F33" s="68">
        <f>(+Amortizacion!L28+Amortizacion!U28)/$A$5</f>
        <v>0</v>
      </c>
      <c r="G33" s="68">
        <f>Amortizacion!AA28/$A$5</f>
        <v>0</v>
      </c>
      <c r="H33" s="69">
        <f t="shared" si="0"/>
        <v>0</v>
      </c>
      <c r="I33" s="70"/>
    </row>
    <row r="34" spans="1:9" x14ac:dyDescent="0.35">
      <c r="A34" s="67">
        <v>28</v>
      </c>
      <c r="B34" s="68">
        <f>-Amortizacion!Y29/$A$5</f>
        <v>0</v>
      </c>
      <c r="C34" s="68">
        <f>-Amortizacion!H29/$A$5</f>
        <v>0</v>
      </c>
      <c r="D34" s="68">
        <f>(-Amortizacion!I29-Amortizacion!R29)/$A$5</f>
        <v>0</v>
      </c>
      <c r="E34" s="68">
        <f>Amortizacion!O29/$A$5</f>
        <v>0</v>
      </c>
      <c r="F34" s="68">
        <f>(+Amortizacion!L29+Amortizacion!U29)/$A$5</f>
        <v>0</v>
      </c>
      <c r="G34" s="68">
        <f>Amortizacion!AA29/$A$5</f>
        <v>0</v>
      </c>
      <c r="H34" s="69">
        <f t="shared" si="0"/>
        <v>0</v>
      </c>
      <c r="I34" s="70"/>
    </row>
    <row r="35" spans="1:9" x14ac:dyDescent="0.35">
      <c r="A35" s="67">
        <v>29</v>
      </c>
      <c r="B35" s="68">
        <f>-Amortizacion!Y30/$A$5</f>
        <v>0</v>
      </c>
      <c r="C35" s="68">
        <f>-Amortizacion!H30/$A$5</f>
        <v>0</v>
      </c>
      <c r="D35" s="68">
        <f>(-Amortizacion!I30-Amortizacion!R30)/$A$5</f>
        <v>0</v>
      </c>
      <c r="E35" s="68">
        <f>Amortizacion!O30/$A$5</f>
        <v>0</v>
      </c>
      <c r="F35" s="68">
        <f>(+Amortizacion!L30+Amortizacion!U30)/$A$5</f>
        <v>0</v>
      </c>
      <c r="G35" s="68">
        <f>Amortizacion!AA30/$A$5</f>
        <v>0</v>
      </c>
      <c r="H35" s="69">
        <f t="shared" si="0"/>
        <v>0</v>
      </c>
      <c r="I35" s="70"/>
    </row>
    <row r="36" spans="1:9" x14ac:dyDescent="0.35">
      <c r="A36" s="67">
        <v>30</v>
      </c>
      <c r="B36" s="68">
        <f>-Amortizacion!Y31/$A$5</f>
        <v>0</v>
      </c>
      <c r="C36" s="68">
        <f>-Amortizacion!H31/$A$5</f>
        <v>0</v>
      </c>
      <c r="D36" s="68">
        <f>(-Amortizacion!I31-Amortizacion!R31)/$A$5</f>
        <v>0</v>
      </c>
      <c r="E36" s="68">
        <f>Amortizacion!O31/$A$5</f>
        <v>0</v>
      </c>
      <c r="F36" s="68">
        <f>(+Amortizacion!L31+Amortizacion!U31)/$A$5</f>
        <v>0</v>
      </c>
      <c r="G36" s="68">
        <f>Amortizacion!AA31/$A$5</f>
        <v>0</v>
      </c>
      <c r="H36" s="69">
        <f t="shared" si="0"/>
        <v>0</v>
      </c>
      <c r="I36" s="70"/>
    </row>
    <row r="37" spans="1:9" x14ac:dyDescent="0.35">
      <c r="A37" s="67">
        <v>31</v>
      </c>
      <c r="B37" s="68">
        <f>-Amortizacion!Y32/$A$5</f>
        <v>0</v>
      </c>
      <c r="C37" s="68">
        <f>-Amortizacion!H32/$A$5</f>
        <v>0</v>
      </c>
      <c r="D37" s="68">
        <f>(-Amortizacion!I32-Amortizacion!R32)/$A$5</f>
        <v>0</v>
      </c>
      <c r="E37" s="68">
        <f>Amortizacion!O32/$A$5</f>
        <v>0</v>
      </c>
      <c r="F37" s="68">
        <f>(+Amortizacion!L32+Amortizacion!U32)/$A$5</f>
        <v>0</v>
      </c>
      <c r="G37" s="68">
        <f>Amortizacion!AA32/$A$5</f>
        <v>0</v>
      </c>
      <c r="H37" s="69">
        <f t="shared" si="0"/>
        <v>0</v>
      </c>
      <c r="I37" s="70"/>
    </row>
    <row r="38" spans="1:9" x14ac:dyDescent="0.35">
      <c r="A38" s="67">
        <v>32</v>
      </c>
      <c r="B38" s="68">
        <f>-Amortizacion!Y33/$A$5</f>
        <v>0</v>
      </c>
      <c r="C38" s="68">
        <f>-Amortizacion!H33/$A$5</f>
        <v>0</v>
      </c>
      <c r="D38" s="68">
        <f>(-Amortizacion!I33-Amortizacion!R33)/$A$5</f>
        <v>0</v>
      </c>
      <c r="E38" s="68">
        <f>Amortizacion!O33/$A$5</f>
        <v>0</v>
      </c>
      <c r="F38" s="68">
        <f>(+Amortizacion!L33+Amortizacion!U33)/$A$5</f>
        <v>0</v>
      </c>
      <c r="G38" s="68">
        <f>Amortizacion!AA33/$A$5</f>
        <v>0</v>
      </c>
      <c r="H38" s="69">
        <f t="shared" si="0"/>
        <v>0</v>
      </c>
      <c r="I38" s="70"/>
    </row>
    <row r="39" spans="1:9" x14ac:dyDescent="0.35">
      <c r="A39" s="67">
        <v>33</v>
      </c>
      <c r="B39" s="68">
        <f>-Amortizacion!Y34/$A$5</f>
        <v>0</v>
      </c>
      <c r="C39" s="68">
        <f>-Amortizacion!H34/$A$5</f>
        <v>0</v>
      </c>
      <c r="D39" s="68">
        <f>(-Amortizacion!I34-Amortizacion!R34)/$A$5</f>
        <v>0</v>
      </c>
      <c r="E39" s="68">
        <f>Amortizacion!O34/$A$5</f>
        <v>0</v>
      </c>
      <c r="F39" s="68">
        <f>(+Amortizacion!L34+Amortizacion!U34)/$A$5</f>
        <v>0</v>
      </c>
      <c r="G39" s="68">
        <f>Amortizacion!AA34/$A$5</f>
        <v>0</v>
      </c>
      <c r="H39" s="69">
        <f t="shared" si="0"/>
        <v>0</v>
      </c>
      <c r="I39" s="70"/>
    </row>
    <row r="40" spans="1:9" x14ac:dyDescent="0.35">
      <c r="A40" s="67">
        <v>34</v>
      </c>
      <c r="B40" s="68">
        <f>-Amortizacion!Y35/$A$5</f>
        <v>0</v>
      </c>
      <c r="C40" s="68">
        <f>-Amortizacion!H35/$A$5</f>
        <v>0</v>
      </c>
      <c r="D40" s="68">
        <f>(-Amortizacion!I35-Amortizacion!R35)/$A$5</f>
        <v>0</v>
      </c>
      <c r="E40" s="68">
        <f>Amortizacion!O35/$A$5</f>
        <v>0</v>
      </c>
      <c r="F40" s="68">
        <f>(+Amortizacion!L35+Amortizacion!U35)/$A$5</f>
        <v>0</v>
      </c>
      <c r="G40" s="68">
        <f>Amortizacion!AA35/$A$5</f>
        <v>0</v>
      </c>
      <c r="H40" s="69">
        <f t="shared" si="0"/>
        <v>0</v>
      </c>
      <c r="I40" s="70"/>
    </row>
    <row r="41" spans="1:9" x14ac:dyDescent="0.35">
      <c r="A41" s="67">
        <v>35</v>
      </c>
      <c r="B41" s="68">
        <f>-Amortizacion!Y36/$A$5</f>
        <v>0</v>
      </c>
      <c r="C41" s="68">
        <f>-Amortizacion!H36/$A$5</f>
        <v>0</v>
      </c>
      <c r="D41" s="68">
        <f>(-Amortizacion!I36-Amortizacion!R36)/$A$5</f>
        <v>0</v>
      </c>
      <c r="E41" s="68">
        <f>Amortizacion!O36/$A$5</f>
        <v>0</v>
      </c>
      <c r="F41" s="68">
        <f>(+Amortizacion!L36+Amortizacion!U36)/$A$5</f>
        <v>0</v>
      </c>
      <c r="G41" s="68">
        <f>Amortizacion!AA36/$A$5</f>
        <v>0</v>
      </c>
      <c r="H41" s="69">
        <f t="shared" si="0"/>
        <v>0</v>
      </c>
      <c r="I41" s="70"/>
    </row>
    <row r="42" spans="1:9" x14ac:dyDescent="0.35">
      <c r="A42" s="67">
        <v>36</v>
      </c>
      <c r="B42" s="68">
        <f>-Amortizacion!Y37/$A$5</f>
        <v>0</v>
      </c>
      <c r="C42" s="68">
        <f>-Amortizacion!H37/$A$5</f>
        <v>0</v>
      </c>
      <c r="D42" s="68">
        <f>(-Amortizacion!I37-Amortizacion!R37)/$A$5</f>
        <v>0</v>
      </c>
      <c r="E42" s="68">
        <f>Amortizacion!O37/$A$5</f>
        <v>0</v>
      </c>
      <c r="F42" s="68">
        <f>(+Amortizacion!L37+Amortizacion!U37)/$A$5</f>
        <v>0</v>
      </c>
      <c r="G42" s="68">
        <f>Amortizacion!AA37/$A$5</f>
        <v>0</v>
      </c>
      <c r="H42" s="69">
        <f t="shared" si="0"/>
        <v>0</v>
      </c>
      <c r="I42" s="70"/>
    </row>
    <row r="43" spans="1:9" x14ac:dyDescent="0.35">
      <c r="A43" s="67">
        <v>37</v>
      </c>
      <c r="B43" s="68">
        <f>-Amortizacion!Y38/$A$5</f>
        <v>0</v>
      </c>
      <c r="C43" s="68">
        <f>-Amortizacion!H38/$A$5</f>
        <v>0</v>
      </c>
      <c r="D43" s="68">
        <f>(-Amortizacion!I38-Amortizacion!R38)/$A$5</f>
        <v>0</v>
      </c>
      <c r="E43" s="68">
        <f>Amortizacion!O38/$A$5</f>
        <v>0</v>
      </c>
      <c r="F43" s="68">
        <f>(+Amortizacion!L38+Amortizacion!U38)/$A$5</f>
        <v>0</v>
      </c>
      <c r="G43" s="68">
        <f>Amortizacion!AA38/$A$5</f>
        <v>0</v>
      </c>
      <c r="H43" s="69">
        <f t="shared" si="0"/>
        <v>0</v>
      </c>
      <c r="I43" s="70"/>
    </row>
    <row r="44" spans="1:9" x14ac:dyDescent="0.35">
      <c r="A44" s="67">
        <v>38</v>
      </c>
      <c r="B44" s="68">
        <f>-Amortizacion!Y39/$A$5</f>
        <v>0</v>
      </c>
      <c r="C44" s="68">
        <f>-Amortizacion!H39/$A$5</f>
        <v>0</v>
      </c>
      <c r="D44" s="68">
        <f>(-Amortizacion!I39-Amortizacion!R39)/$A$5</f>
        <v>0</v>
      </c>
      <c r="E44" s="68">
        <f>Amortizacion!O39/$A$5</f>
        <v>0</v>
      </c>
      <c r="F44" s="68">
        <f>(+Amortizacion!L39+Amortizacion!U39)/$A$5</f>
        <v>0</v>
      </c>
      <c r="G44" s="68">
        <f>Amortizacion!AA39/$A$5</f>
        <v>0</v>
      </c>
      <c r="H44" s="69">
        <f t="shared" si="0"/>
        <v>0</v>
      </c>
      <c r="I44" s="70"/>
    </row>
    <row r="45" spans="1:9" x14ac:dyDescent="0.35">
      <c r="A45" s="67">
        <v>39</v>
      </c>
      <c r="B45" s="68">
        <f>-Amortizacion!Y40/$A$5</f>
        <v>0</v>
      </c>
      <c r="C45" s="68">
        <f>-Amortizacion!H40/$A$5</f>
        <v>0</v>
      </c>
      <c r="D45" s="68">
        <f>(-Amortizacion!I40-Amortizacion!R40)/$A$5</f>
        <v>0</v>
      </c>
      <c r="E45" s="68">
        <f>Amortizacion!O40/$A$5</f>
        <v>0</v>
      </c>
      <c r="F45" s="68">
        <f>(+Amortizacion!L40+Amortizacion!U40)/$A$5</f>
        <v>0</v>
      </c>
      <c r="G45" s="68">
        <f>Amortizacion!AA40/$A$5</f>
        <v>0</v>
      </c>
      <c r="H45" s="69">
        <f t="shared" si="0"/>
        <v>0</v>
      </c>
      <c r="I45" s="70"/>
    </row>
    <row r="46" spans="1:9" x14ac:dyDescent="0.35">
      <c r="A46" s="67">
        <v>40</v>
      </c>
      <c r="B46" s="68">
        <f>-Amortizacion!Y41/$A$5</f>
        <v>0</v>
      </c>
      <c r="C46" s="68">
        <f>-Amortizacion!H41/$A$5</f>
        <v>0</v>
      </c>
      <c r="D46" s="68">
        <f>(-Amortizacion!I41-Amortizacion!R41)/$A$5</f>
        <v>0</v>
      </c>
      <c r="E46" s="68">
        <f>Amortizacion!O41/$A$5</f>
        <v>0</v>
      </c>
      <c r="F46" s="68">
        <f>(+Amortizacion!L41+Amortizacion!U41)/$A$5</f>
        <v>0</v>
      </c>
      <c r="G46" s="68">
        <f>Amortizacion!AA41/$A$5</f>
        <v>0</v>
      </c>
      <c r="H46" s="69">
        <f t="shared" si="0"/>
        <v>0</v>
      </c>
      <c r="I46" s="70"/>
    </row>
    <row r="47" spans="1:9" x14ac:dyDescent="0.35">
      <c r="A47" s="67">
        <v>41</v>
      </c>
      <c r="B47" s="68">
        <f>-Amortizacion!Y42/$A$5</f>
        <v>0</v>
      </c>
      <c r="C47" s="68">
        <f>-Amortizacion!H42/$A$5</f>
        <v>0</v>
      </c>
      <c r="D47" s="68">
        <f>(-Amortizacion!I42-Amortizacion!R42)/$A$5</f>
        <v>0</v>
      </c>
      <c r="E47" s="68">
        <f>Amortizacion!O42/$A$5</f>
        <v>0</v>
      </c>
      <c r="F47" s="68">
        <f>(+Amortizacion!L42+Amortizacion!U42)/$A$5</f>
        <v>0</v>
      </c>
      <c r="G47" s="68">
        <f>Amortizacion!AA42/$A$5</f>
        <v>0</v>
      </c>
      <c r="H47" s="69">
        <f t="shared" si="0"/>
        <v>0</v>
      </c>
      <c r="I47" s="70"/>
    </row>
    <row r="48" spans="1:9" x14ac:dyDescent="0.35">
      <c r="A48" s="67">
        <v>42</v>
      </c>
      <c r="B48" s="68">
        <f>-Amortizacion!Y43/$A$5</f>
        <v>0</v>
      </c>
      <c r="C48" s="68">
        <f>-Amortizacion!H43/$A$5</f>
        <v>0</v>
      </c>
      <c r="D48" s="68">
        <f>(-Amortizacion!I43-Amortizacion!R43)/$A$5</f>
        <v>0</v>
      </c>
      <c r="E48" s="68">
        <f>Amortizacion!O43/$A$5</f>
        <v>0</v>
      </c>
      <c r="F48" s="68">
        <f>(+Amortizacion!L43+Amortizacion!U43)/$A$5</f>
        <v>0</v>
      </c>
      <c r="G48" s="68">
        <f>Amortizacion!AA43/$A$5</f>
        <v>0</v>
      </c>
      <c r="H48" s="69">
        <f t="shared" si="0"/>
        <v>0</v>
      </c>
      <c r="I48" s="70"/>
    </row>
    <row r="49" spans="1:9" x14ac:dyDescent="0.35">
      <c r="A49" s="67">
        <v>43</v>
      </c>
      <c r="B49" s="68">
        <f>-Amortizacion!Y44/$A$5</f>
        <v>0</v>
      </c>
      <c r="C49" s="68">
        <f>-Amortizacion!H44/$A$5</f>
        <v>0</v>
      </c>
      <c r="D49" s="68">
        <f>(-Amortizacion!I44-Amortizacion!R44)/$A$5</f>
        <v>0</v>
      </c>
      <c r="E49" s="68">
        <f>Amortizacion!O44/$A$5</f>
        <v>0</v>
      </c>
      <c r="F49" s="68">
        <f>(+Amortizacion!L44+Amortizacion!U44)/$A$5</f>
        <v>0</v>
      </c>
      <c r="G49" s="68">
        <f>Amortizacion!AA44/$A$5</f>
        <v>0</v>
      </c>
      <c r="H49" s="69">
        <f t="shared" si="0"/>
        <v>0</v>
      </c>
      <c r="I49" s="70"/>
    </row>
    <row r="50" spans="1:9" x14ac:dyDescent="0.35">
      <c r="A50" s="67">
        <v>44</v>
      </c>
      <c r="B50" s="68">
        <f>-Amortizacion!Y45/$A$5</f>
        <v>0</v>
      </c>
      <c r="C50" s="68">
        <f>-Amortizacion!H45/$A$5</f>
        <v>0</v>
      </c>
      <c r="D50" s="68">
        <f>(-Amortizacion!I45-Amortizacion!R45)/$A$5</f>
        <v>0</v>
      </c>
      <c r="E50" s="68">
        <f>Amortizacion!O45/$A$5</f>
        <v>0</v>
      </c>
      <c r="F50" s="68">
        <f>(+Amortizacion!L45+Amortizacion!U45)/$A$5</f>
        <v>0</v>
      </c>
      <c r="G50" s="68">
        <f>Amortizacion!AA45/$A$5</f>
        <v>0</v>
      </c>
      <c r="H50" s="69">
        <f t="shared" si="0"/>
        <v>0</v>
      </c>
      <c r="I50" s="70"/>
    </row>
    <row r="51" spans="1:9" x14ac:dyDescent="0.35">
      <c r="A51" s="67">
        <v>45</v>
      </c>
      <c r="B51" s="68">
        <f>-Amortizacion!Y46/$A$5</f>
        <v>0</v>
      </c>
      <c r="C51" s="68">
        <f>-Amortizacion!H46/$A$5</f>
        <v>0</v>
      </c>
      <c r="D51" s="68">
        <f>(-Amortizacion!I46-Amortizacion!R46)/$A$5</f>
        <v>0</v>
      </c>
      <c r="E51" s="68">
        <f>Amortizacion!O46/$A$5</f>
        <v>0</v>
      </c>
      <c r="F51" s="68">
        <f>(+Amortizacion!L46+Amortizacion!U46)/$A$5</f>
        <v>0</v>
      </c>
      <c r="G51" s="68">
        <f>Amortizacion!AA46/$A$5</f>
        <v>0</v>
      </c>
      <c r="H51" s="69">
        <f t="shared" si="0"/>
        <v>0</v>
      </c>
      <c r="I51" s="70"/>
    </row>
    <row r="52" spans="1:9" x14ac:dyDescent="0.35">
      <c r="A52" s="67">
        <v>46</v>
      </c>
      <c r="B52" s="68">
        <f>-Amortizacion!Y47/$A$5</f>
        <v>0</v>
      </c>
      <c r="C52" s="68">
        <f>-Amortizacion!H47/$A$5</f>
        <v>0</v>
      </c>
      <c r="D52" s="68">
        <f>(-Amortizacion!I47-Amortizacion!R47)/$A$5</f>
        <v>0</v>
      </c>
      <c r="E52" s="68">
        <f>Amortizacion!O47/$A$5</f>
        <v>0</v>
      </c>
      <c r="F52" s="68">
        <f>(+Amortizacion!L47+Amortizacion!U47)/$A$5</f>
        <v>0</v>
      </c>
      <c r="G52" s="68">
        <f>Amortizacion!AA47/$A$5</f>
        <v>0</v>
      </c>
      <c r="H52" s="69">
        <f t="shared" si="0"/>
        <v>0</v>
      </c>
      <c r="I52" s="70"/>
    </row>
    <row r="53" spans="1:9" x14ac:dyDescent="0.35">
      <c r="A53" s="67">
        <v>47</v>
      </c>
      <c r="B53" s="68">
        <f>-Amortizacion!Y48/$A$5</f>
        <v>0</v>
      </c>
      <c r="C53" s="68">
        <f>-Amortizacion!H48/$A$5</f>
        <v>0</v>
      </c>
      <c r="D53" s="68">
        <f>(-Amortizacion!I48-Amortizacion!R48)/$A$5</f>
        <v>0</v>
      </c>
      <c r="E53" s="68">
        <f>Amortizacion!O48/$A$5</f>
        <v>0</v>
      </c>
      <c r="F53" s="68">
        <f>(+Amortizacion!L48+Amortizacion!U48)/$A$5</f>
        <v>0</v>
      </c>
      <c r="G53" s="68">
        <f>Amortizacion!AA48/$A$5</f>
        <v>0</v>
      </c>
      <c r="H53" s="69">
        <f t="shared" si="0"/>
        <v>0</v>
      </c>
      <c r="I53" s="70"/>
    </row>
    <row r="54" spans="1:9" x14ac:dyDescent="0.35">
      <c r="A54" s="67">
        <v>48</v>
      </c>
      <c r="B54" s="68">
        <f>-Amortizacion!Y49/$A$5</f>
        <v>0</v>
      </c>
      <c r="C54" s="68">
        <f>-Amortizacion!H49/$A$5</f>
        <v>0</v>
      </c>
      <c r="D54" s="68">
        <f>(-Amortizacion!I49-Amortizacion!R49)/$A$5</f>
        <v>0</v>
      </c>
      <c r="E54" s="68">
        <f>Amortizacion!O49/$A$5</f>
        <v>0</v>
      </c>
      <c r="F54" s="68">
        <f>(+Amortizacion!L49+Amortizacion!U49)/$A$5</f>
        <v>0</v>
      </c>
      <c r="G54" s="68">
        <f>Amortizacion!AA49/$A$5</f>
        <v>0</v>
      </c>
      <c r="H54" s="69">
        <f t="shared" si="0"/>
        <v>0</v>
      </c>
      <c r="I54" s="70"/>
    </row>
    <row r="55" spans="1:9" x14ac:dyDescent="0.35">
      <c r="A55" s="67">
        <v>49</v>
      </c>
      <c r="B55" s="68">
        <f>-Amortizacion!Y50/$A$5</f>
        <v>0</v>
      </c>
      <c r="C55" s="68">
        <f>-Amortizacion!H50/$A$5</f>
        <v>0</v>
      </c>
      <c r="D55" s="68">
        <f>(-Amortizacion!I50-Amortizacion!R50)/$A$5</f>
        <v>0</v>
      </c>
      <c r="E55" s="68">
        <f>Amortizacion!O50/$A$5</f>
        <v>0</v>
      </c>
      <c r="F55" s="68">
        <f>(+Amortizacion!L50+Amortizacion!U50)/$A$5</f>
        <v>0</v>
      </c>
      <c r="G55" s="68">
        <f>Amortizacion!AA50/$A$5</f>
        <v>0</v>
      </c>
      <c r="H55" s="69">
        <f t="shared" si="0"/>
        <v>0</v>
      </c>
      <c r="I55" s="70"/>
    </row>
    <row r="56" spans="1:9" x14ac:dyDescent="0.35">
      <c r="A56" s="67">
        <v>50</v>
      </c>
      <c r="B56" s="68">
        <f>-Amortizacion!Y51/$A$5</f>
        <v>0</v>
      </c>
      <c r="C56" s="68">
        <f>-Amortizacion!H51/$A$5</f>
        <v>0</v>
      </c>
      <c r="D56" s="68">
        <f>(-Amortizacion!I51-Amortizacion!R51)/$A$5</f>
        <v>0</v>
      </c>
      <c r="E56" s="68">
        <f>Amortizacion!O51/$A$5</f>
        <v>0</v>
      </c>
      <c r="F56" s="68">
        <f>(+Amortizacion!L51+Amortizacion!U51)/$A$5</f>
        <v>0</v>
      </c>
      <c r="G56" s="68">
        <f>Amortizacion!AA51/$A$5</f>
        <v>0</v>
      </c>
      <c r="H56" s="69">
        <f t="shared" si="0"/>
        <v>0</v>
      </c>
      <c r="I56" s="70"/>
    </row>
    <row r="57" spans="1:9" x14ac:dyDescent="0.35">
      <c r="A57" s="67">
        <v>51</v>
      </c>
      <c r="B57" s="68">
        <f>-Amortizacion!Y52/$A$5</f>
        <v>0</v>
      </c>
      <c r="C57" s="68">
        <f>-Amortizacion!H52/$A$5</f>
        <v>0</v>
      </c>
      <c r="D57" s="68">
        <f>(-Amortizacion!I52-Amortizacion!R52)/$A$5</f>
        <v>0</v>
      </c>
      <c r="E57" s="68">
        <f>Amortizacion!O52/$A$5</f>
        <v>0</v>
      </c>
      <c r="F57" s="68">
        <f>(+Amortizacion!L52+Amortizacion!U52)/$A$5</f>
        <v>0</v>
      </c>
      <c r="G57" s="68">
        <f>Amortizacion!AA52/$A$5</f>
        <v>0</v>
      </c>
      <c r="H57" s="69">
        <f t="shared" si="0"/>
        <v>0</v>
      </c>
      <c r="I57" s="70"/>
    </row>
    <row r="58" spans="1:9" x14ac:dyDescent="0.35">
      <c r="A58" s="67">
        <v>52</v>
      </c>
      <c r="B58" s="68">
        <f>-Amortizacion!Y53/$A$5</f>
        <v>0</v>
      </c>
      <c r="C58" s="68">
        <f>-Amortizacion!H53/$A$5</f>
        <v>0</v>
      </c>
      <c r="D58" s="68">
        <f>(-Amortizacion!I53-Amortizacion!R53)/$A$5</f>
        <v>0</v>
      </c>
      <c r="E58" s="68">
        <f>Amortizacion!O53/$A$5</f>
        <v>0</v>
      </c>
      <c r="F58" s="68">
        <f>(+Amortizacion!L53+Amortizacion!U53)/$A$5</f>
        <v>0</v>
      </c>
      <c r="G58" s="68">
        <f>Amortizacion!AA53/$A$5</f>
        <v>0</v>
      </c>
      <c r="H58" s="69">
        <f t="shared" si="0"/>
        <v>0</v>
      </c>
      <c r="I58" s="70"/>
    </row>
    <row r="59" spans="1:9" x14ac:dyDescent="0.35">
      <c r="A59" s="67">
        <v>53</v>
      </c>
      <c r="B59" s="68">
        <f>-Amortizacion!Y54/$A$5</f>
        <v>0</v>
      </c>
      <c r="C59" s="68">
        <f>-Amortizacion!H54/$A$5</f>
        <v>0</v>
      </c>
      <c r="D59" s="68">
        <f>(-Amortizacion!I54-Amortizacion!R54)/$A$5</f>
        <v>0</v>
      </c>
      <c r="E59" s="68">
        <f>Amortizacion!O54/$A$5</f>
        <v>0</v>
      </c>
      <c r="F59" s="68">
        <f>(+Amortizacion!L54+Amortizacion!U54)/$A$5</f>
        <v>0</v>
      </c>
      <c r="G59" s="68">
        <f>Amortizacion!AA54/$A$5</f>
        <v>0</v>
      </c>
      <c r="H59" s="69">
        <f t="shared" si="0"/>
        <v>0</v>
      </c>
      <c r="I59" s="70"/>
    </row>
    <row r="60" spans="1:9" x14ac:dyDescent="0.35">
      <c r="A60" s="67">
        <v>54</v>
      </c>
      <c r="B60" s="68">
        <f>-Amortizacion!Y55/$A$5</f>
        <v>0</v>
      </c>
      <c r="C60" s="68">
        <f>-Amortizacion!H55/$A$5</f>
        <v>0</v>
      </c>
      <c r="D60" s="68">
        <f>(-Amortizacion!I55-Amortizacion!R55)/$A$5</f>
        <v>0</v>
      </c>
      <c r="E60" s="68">
        <f>Amortizacion!O55/$A$5</f>
        <v>0</v>
      </c>
      <c r="F60" s="68">
        <f>(+Amortizacion!L55+Amortizacion!U55)/$A$5</f>
        <v>0</v>
      </c>
      <c r="G60" s="68">
        <f>Amortizacion!AA55/$A$5</f>
        <v>0</v>
      </c>
      <c r="H60" s="69">
        <f t="shared" si="0"/>
        <v>0</v>
      </c>
      <c r="I60" s="70"/>
    </row>
    <row r="61" spans="1:9" x14ac:dyDescent="0.35">
      <c r="A61" s="67">
        <v>55</v>
      </c>
      <c r="B61" s="68">
        <f>-Amortizacion!Y56/$A$5</f>
        <v>0</v>
      </c>
      <c r="C61" s="68">
        <f>-Amortizacion!H56/$A$5</f>
        <v>0</v>
      </c>
      <c r="D61" s="68">
        <f>(-Amortizacion!I56-Amortizacion!R56)/$A$5</f>
        <v>0</v>
      </c>
      <c r="E61" s="68">
        <f>Amortizacion!O56/$A$5</f>
        <v>0</v>
      </c>
      <c r="F61" s="68">
        <f>(+Amortizacion!L56+Amortizacion!U56)/$A$5</f>
        <v>0</v>
      </c>
      <c r="G61" s="68">
        <f>Amortizacion!AA56/$A$5</f>
        <v>0</v>
      </c>
      <c r="H61" s="69">
        <f t="shared" si="0"/>
        <v>0</v>
      </c>
      <c r="I61" s="70"/>
    </row>
    <row r="62" spans="1:9" x14ac:dyDescent="0.35">
      <c r="A62" s="67">
        <v>56</v>
      </c>
      <c r="B62" s="68">
        <f>-Amortizacion!Y57/$A$5</f>
        <v>0</v>
      </c>
      <c r="C62" s="68">
        <f>-Amortizacion!H57/$A$5</f>
        <v>0</v>
      </c>
      <c r="D62" s="68">
        <f>(-Amortizacion!I57-Amortizacion!R57)/$A$5</f>
        <v>0</v>
      </c>
      <c r="E62" s="68">
        <f>Amortizacion!O57/$A$5</f>
        <v>0</v>
      </c>
      <c r="F62" s="68">
        <f>(+Amortizacion!L57+Amortizacion!U57)/$A$5</f>
        <v>0</v>
      </c>
      <c r="G62" s="68">
        <f>Amortizacion!AA57/$A$5</f>
        <v>0</v>
      </c>
      <c r="H62" s="69">
        <f t="shared" si="0"/>
        <v>0</v>
      </c>
      <c r="I62" s="70"/>
    </row>
    <row r="63" spans="1:9" x14ac:dyDescent="0.35">
      <c r="A63" s="67">
        <v>57</v>
      </c>
      <c r="B63" s="68">
        <f>-Amortizacion!Y58/$A$5</f>
        <v>0</v>
      </c>
      <c r="C63" s="68">
        <f>-Amortizacion!H58/$A$5</f>
        <v>0</v>
      </c>
      <c r="D63" s="68">
        <f>(-Amortizacion!I58-Amortizacion!R58)/$A$5</f>
        <v>0</v>
      </c>
      <c r="E63" s="68">
        <f>Amortizacion!O58/$A$5</f>
        <v>0</v>
      </c>
      <c r="F63" s="68">
        <f>(+Amortizacion!L58+Amortizacion!U58)/$A$5</f>
        <v>0</v>
      </c>
      <c r="G63" s="68">
        <f>Amortizacion!AA58/$A$5</f>
        <v>0</v>
      </c>
      <c r="H63" s="69">
        <f t="shared" si="0"/>
        <v>0</v>
      </c>
      <c r="I63" s="70"/>
    </row>
    <row r="64" spans="1:9" x14ac:dyDescent="0.35">
      <c r="A64" s="67">
        <v>58</v>
      </c>
      <c r="B64" s="68">
        <f>-Amortizacion!Y59/$A$5</f>
        <v>0</v>
      </c>
      <c r="C64" s="68">
        <f>-Amortizacion!H59/$A$5</f>
        <v>0</v>
      </c>
      <c r="D64" s="68">
        <f>(-Amortizacion!I59-Amortizacion!R59)/$A$5</f>
        <v>0</v>
      </c>
      <c r="E64" s="68">
        <f>Amortizacion!O59/$A$5</f>
        <v>0</v>
      </c>
      <c r="F64" s="68">
        <f>(+Amortizacion!L59+Amortizacion!U59)/$A$5</f>
        <v>0</v>
      </c>
      <c r="G64" s="68">
        <f>Amortizacion!AA59/$A$5</f>
        <v>0</v>
      </c>
      <c r="H64" s="69">
        <f t="shared" si="0"/>
        <v>0</v>
      </c>
      <c r="I64" s="70"/>
    </row>
    <row r="65" spans="1:10" x14ac:dyDescent="0.35">
      <c r="A65" s="67">
        <v>59</v>
      </c>
      <c r="B65" s="68">
        <f>-Amortizacion!Y60/$A$5</f>
        <v>0</v>
      </c>
      <c r="C65" s="68">
        <f>-Amortizacion!H60/$A$5</f>
        <v>0</v>
      </c>
      <c r="D65" s="68">
        <f>(-Amortizacion!I60-Amortizacion!R60)/$A$5</f>
        <v>0</v>
      </c>
      <c r="E65" s="68">
        <f>Amortizacion!O60/$A$5</f>
        <v>0</v>
      </c>
      <c r="F65" s="68">
        <f>(+Amortizacion!L60+Amortizacion!U60)/$A$5</f>
        <v>0</v>
      </c>
      <c r="G65" s="68">
        <f>Amortizacion!AA60/$A$5</f>
        <v>0</v>
      </c>
      <c r="H65" s="69">
        <f t="shared" si="0"/>
        <v>0</v>
      </c>
      <c r="I65" s="70"/>
    </row>
    <row r="66" spans="1:10" x14ac:dyDescent="0.35">
      <c r="A66" s="67">
        <v>60</v>
      </c>
      <c r="B66" s="68">
        <f>-Amortizacion!Y61/$A$5</f>
        <v>0</v>
      </c>
      <c r="C66" s="68">
        <f>-Amortizacion!H61/$A$5</f>
        <v>0</v>
      </c>
      <c r="D66" s="68">
        <f>(-Amortizacion!I61-Amortizacion!R61)/$A$5</f>
        <v>0</v>
      </c>
      <c r="E66" s="68">
        <f>Amortizacion!O61/$A$5</f>
        <v>0</v>
      </c>
      <c r="F66" s="68">
        <f>(+Amortizacion!L61+Amortizacion!U61)/$A$5</f>
        <v>0</v>
      </c>
      <c r="G66" s="68">
        <f>Amortizacion!AA61/$A$5</f>
        <v>0</v>
      </c>
      <c r="H66" s="69">
        <f t="shared" si="0"/>
        <v>0</v>
      </c>
      <c r="I66" s="70"/>
    </row>
    <row r="67" spans="1:10" x14ac:dyDescent="0.35">
      <c r="A67" s="67">
        <v>61</v>
      </c>
      <c r="B67" s="68">
        <f>-Amortizacion!Y62/$A$5</f>
        <v>0</v>
      </c>
      <c r="C67" s="68">
        <f>-Amortizacion!H62/$A$5</f>
        <v>0</v>
      </c>
      <c r="D67" s="68">
        <f>(-Amortizacion!I62-Amortizacion!R62)/$A$5</f>
        <v>0</v>
      </c>
      <c r="E67" s="68">
        <f>Amortizacion!O62/$A$5</f>
        <v>0</v>
      </c>
      <c r="F67" s="68">
        <f>(+Amortizacion!L62+Amortizacion!U62)/$A$5</f>
        <v>0</v>
      </c>
      <c r="G67" s="68">
        <f>Amortizacion!AA62/$A$5</f>
        <v>0</v>
      </c>
      <c r="H67" s="69">
        <f>+F67+G67</f>
        <v>0</v>
      </c>
      <c r="I67" s="70"/>
    </row>
    <row r="68" spans="1:10" x14ac:dyDescent="0.35">
      <c r="A68" s="67">
        <v>62</v>
      </c>
      <c r="B68" s="68">
        <f>-Amortizacion!Y63/$A$5</f>
        <v>0</v>
      </c>
      <c r="C68" s="68">
        <f>-Amortizacion!H63/$A$5</f>
        <v>0</v>
      </c>
      <c r="D68" s="68">
        <f>(-Amortizacion!I63-Amortizacion!R63)/$A$5</f>
        <v>0</v>
      </c>
      <c r="E68" s="68">
        <f>Amortizacion!O63/$A$5</f>
        <v>0</v>
      </c>
      <c r="F68" s="68">
        <f>(+Amortizacion!L63+Amortizacion!U63)/$A$5</f>
        <v>0</v>
      </c>
      <c r="G68" s="68">
        <f>Amortizacion!AA63/$A$5</f>
        <v>0</v>
      </c>
      <c r="H68" s="69">
        <f t="shared" si="0"/>
        <v>0</v>
      </c>
      <c r="I68" s="70"/>
    </row>
    <row r="69" spans="1:10" x14ac:dyDescent="0.35">
      <c r="A69" s="67">
        <v>63</v>
      </c>
      <c r="B69" s="68">
        <f>-Amortizacion!Y64/$A$5</f>
        <v>0</v>
      </c>
      <c r="C69" s="68">
        <f>-Amortizacion!H64/$A$5</f>
        <v>0</v>
      </c>
      <c r="D69" s="68">
        <f>(-Amortizacion!I64-Amortizacion!R64)/$A$5</f>
        <v>0</v>
      </c>
      <c r="E69" s="68">
        <f>Amortizacion!O64/$A$5</f>
        <v>0</v>
      </c>
      <c r="F69" s="68">
        <f>(+Amortizacion!L64+Amortizacion!U64)/$A$5</f>
        <v>0</v>
      </c>
      <c r="G69" s="68">
        <f>Amortizacion!AA64/$A$5</f>
        <v>0</v>
      </c>
      <c r="H69" s="69">
        <f t="shared" si="0"/>
        <v>0</v>
      </c>
      <c r="I69" s="70"/>
    </row>
    <row r="70" spans="1:10" x14ac:dyDescent="0.35">
      <c r="A70" s="67">
        <v>64</v>
      </c>
      <c r="B70" s="68">
        <f>-Amortizacion!Y65/$A$5</f>
        <v>0</v>
      </c>
      <c r="C70" s="68">
        <f>-Amortizacion!H65/$A$5</f>
        <v>0</v>
      </c>
      <c r="D70" s="68">
        <f>(-Amortizacion!I65-Amortizacion!R65)/$A$5</f>
        <v>0</v>
      </c>
      <c r="E70" s="68">
        <f>Amortizacion!O65/$A$5</f>
        <v>0</v>
      </c>
      <c r="F70" s="68">
        <f>(+Amortizacion!L65+Amortizacion!U65)/$A$5</f>
        <v>0</v>
      </c>
      <c r="G70" s="68">
        <f>Amortizacion!AA65/$A$5</f>
        <v>0</v>
      </c>
      <c r="H70" s="69">
        <f t="shared" si="0"/>
        <v>0</v>
      </c>
      <c r="I70" s="70"/>
    </row>
    <row r="71" spans="1:10" x14ac:dyDescent="0.35">
      <c r="A71" s="67">
        <v>65</v>
      </c>
      <c r="B71" s="68">
        <f>-Amortizacion!Y66/$A$5</f>
        <v>0</v>
      </c>
      <c r="C71" s="68">
        <f>-Amortizacion!H66/$A$5</f>
        <v>0</v>
      </c>
      <c r="D71" s="68">
        <f>(-Amortizacion!I66-Amortizacion!R66)/$A$5</f>
        <v>0</v>
      </c>
      <c r="E71" s="68">
        <f>Amortizacion!O66/$A$5</f>
        <v>0</v>
      </c>
      <c r="F71" s="68">
        <f>(+Amortizacion!L66+Amortizacion!U66)/$A$5</f>
        <v>0</v>
      </c>
      <c r="G71" s="68">
        <f>Amortizacion!AA66/$A$5</f>
        <v>0</v>
      </c>
      <c r="H71" s="69">
        <f t="shared" si="0"/>
        <v>0</v>
      </c>
      <c r="I71" s="70"/>
    </row>
    <row r="72" spans="1:10" x14ac:dyDescent="0.35">
      <c r="A72" s="67">
        <v>66</v>
      </c>
      <c r="B72" s="68">
        <f>-Amortizacion!Y67/$A$5</f>
        <v>0</v>
      </c>
      <c r="C72" s="68">
        <f>-Amortizacion!H67/$A$5</f>
        <v>0</v>
      </c>
      <c r="D72" s="68">
        <f>(-Amortizacion!I67-Amortizacion!R67)/$A$5</f>
        <v>0</v>
      </c>
      <c r="E72" s="68">
        <f>Amortizacion!O67/$A$5</f>
        <v>0</v>
      </c>
      <c r="F72" s="68">
        <f>(+Amortizacion!L67+Amortizacion!U67)/$A$5</f>
        <v>0</v>
      </c>
      <c r="G72" s="68">
        <f>Amortizacion!AA67/$A$5</f>
        <v>0</v>
      </c>
      <c r="H72" s="69">
        <f t="shared" ref="H72:H135" si="1">+F72+G72</f>
        <v>0</v>
      </c>
      <c r="I72" s="70"/>
    </row>
    <row r="73" spans="1:10" x14ac:dyDescent="0.35">
      <c r="A73" s="67">
        <v>67</v>
      </c>
      <c r="B73" s="68">
        <f>-Amortizacion!Y68/$A$5</f>
        <v>0</v>
      </c>
      <c r="C73" s="68">
        <f>-Amortizacion!H68/$A$5</f>
        <v>0</v>
      </c>
      <c r="D73" s="68">
        <f>(-Amortizacion!I68-Amortizacion!R68)/$A$5</f>
        <v>0</v>
      </c>
      <c r="E73" s="68">
        <f>Amortizacion!O68/$A$5</f>
        <v>0</v>
      </c>
      <c r="F73" s="68">
        <f>(+Amortizacion!L68+Amortizacion!U68)/$A$5</f>
        <v>0</v>
      </c>
      <c r="G73" s="68">
        <f>Amortizacion!AA68/$A$5</f>
        <v>0</v>
      </c>
      <c r="H73" s="69">
        <f t="shared" si="1"/>
        <v>0</v>
      </c>
      <c r="I73" s="70"/>
    </row>
    <row r="74" spans="1:10" x14ac:dyDescent="0.35">
      <c r="A74" s="67">
        <v>68</v>
      </c>
      <c r="B74" s="68">
        <f>-Amortizacion!Y69/$A$5</f>
        <v>0</v>
      </c>
      <c r="C74" s="68">
        <f>-Amortizacion!H69/$A$5</f>
        <v>0</v>
      </c>
      <c r="D74" s="68">
        <f>(-Amortizacion!I69-Amortizacion!R69)/$A$5</f>
        <v>0</v>
      </c>
      <c r="E74" s="68">
        <f>Amortizacion!O69/$A$5</f>
        <v>0</v>
      </c>
      <c r="F74" s="68">
        <f>(+Amortizacion!L69+Amortizacion!U69)/$A$5</f>
        <v>0</v>
      </c>
      <c r="G74" s="68">
        <f>Amortizacion!AA69/$A$5</f>
        <v>0</v>
      </c>
      <c r="H74" s="69">
        <f t="shared" si="1"/>
        <v>0</v>
      </c>
      <c r="I74" s="70"/>
    </row>
    <row r="75" spans="1:10" x14ac:dyDescent="0.35">
      <c r="A75" s="67">
        <v>69</v>
      </c>
      <c r="B75" s="68">
        <f>-Amortizacion!Y70/$A$5</f>
        <v>0</v>
      </c>
      <c r="C75" s="68">
        <f>-Amortizacion!H70/$A$5</f>
        <v>0</v>
      </c>
      <c r="D75" s="68">
        <f>(-Amortizacion!I70-Amortizacion!R70)/$A$5</f>
        <v>0</v>
      </c>
      <c r="E75" s="68">
        <f>Amortizacion!O70/$A$5</f>
        <v>0</v>
      </c>
      <c r="F75" s="68">
        <f>(+Amortizacion!L70+Amortizacion!U70)/$A$5</f>
        <v>0</v>
      </c>
      <c r="G75" s="68">
        <f>Amortizacion!AA70/$A$5</f>
        <v>0</v>
      </c>
      <c r="H75" s="69">
        <f t="shared" si="1"/>
        <v>0</v>
      </c>
      <c r="I75" s="70"/>
    </row>
    <row r="76" spans="1:10" x14ac:dyDescent="0.35">
      <c r="A76" s="67">
        <v>70</v>
      </c>
      <c r="B76" s="68">
        <f>-Amortizacion!Y71/$A$5</f>
        <v>0</v>
      </c>
      <c r="C76" s="68">
        <f>-Amortizacion!H71/$A$5</f>
        <v>0</v>
      </c>
      <c r="D76" s="68">
        <f>(-Amortizacion!I71-Amortizacion!R71)/$A$5</f>
        <v>0</v>
      </c>
      <c r="E76" s="68">
        <f>Amortizacion!O71/$A$5</f>
        <v>0</v>
      </c>
      <c r="F76" s="68">
        <f>(+Amortizacion!L71+Amortizacion!U71)/$A$5</f>
        <v>0</v>
      </c>
      <c r="G76" s="68">
        <f>Amortizacion!AA71/$A$5</f>
        <v>0</v>
      </c>
      <c r="H76" s="69">
        <f t="shared" si="1"/>
        <v>0</v>
      </c>
      <c r="I76" s="70"/>
    </row>
    <row r="77" spans="1:10" x14ac:dyDescent="0.35">
      <c r="A77" s="67">
        <v>71</v>
      </c>
      <c r="B77" s="68">
        <f>-Amortizacion!Y72/$A$5</f>
        <v>0</v>
      </c>
      <c r="C77" s="68">
        <f>-Amortizacion!H72/$A$5</f>
        <v>0</v>
      </c>
      <c r="D77" s="68">
        <f>(-Amortizacion!I72-Amortizacion!R72)/$A$5</f>
        <v>0</v>
      </c>
      <c r="E77" s="68">
        <f>Amortizacion!O72/$A$5</f>
        <v>0</v>
      </c>
      <c r="F77" s="68">
        <f>(+Amortizacion!L72+Amortizacion!U72)/$A$5</f>
        <v>0</v>
      </c>
      <c r="G77" s="68">
        <f>Amortizacion!AA72/$A$5</f>
        <v>0</v>
      </c>
      <c r="H77" s="69">
        <f t="shared" si="1"/>
        <v>0</v>
      </c>
      <c r="I77" s="70"/>
    </row>
    <row r="78" spans="1:10" x14ac:dyDescent="0.35">
      <c r="A78" s="67">
        <v>72</v>
      </c>
      <c r="B78" s="68">
        <f>-Amortizacion!Y73/$A$5</f>
        <v>0</v>
      </c>
      <c r="C78" s="68">
        <f>-Amortizacion!H73/$A$5</f>
        <v>0</v>
      </c>
      <c r="D78" s="68">
        <f>(-Amortizacion!I73-Amortizacion!R73)/$A$5</f>
        <v>0</v>
      </c>
      <c r="E78" s="68">
        <f>Amortizacion!O73/$A$5</f>
        <v>0</v>
      </c>
      <c r="F78" s="68">
        <f>(+Amortizacion!L73+Amortizacion!U73)/$A$5</f>
        <v>0</v>
      </c>
      <c r="G78" s="68">
        <f>Amortizacion!AA73/$A$5</f>
        <v>0</v>
      </c>
      <c r="H78" s="69">
        <f t="shared" si="1"/>
        <v>0</v>
      </c>
      <c r="I78" s="70"/>
    </row>
    <row r="79" spans="1:10" x14ac:dyDescent="0.35">
      <c r="A79" s="67">
        <v>73</v>
      </c>
      <c r="B79" s="68">
        <f>-Amortizacion!Y74/$A$5</f>
        <v>0</v>
      </c>
      <c r="C79" s="68">
        <f>-Amortizacion!H74/$A$5</f>
        <v>0</v>
      </c>
      <c r="D79" s="68">
        <f>(-Amortizacion!I74-Amortizacion!R74)/$A$5</f>
        <v>0</v>
      </c>
      <c r="E79" s="68">
        <f>Amortizacion!O74/$A$5</f>
        <v>0</v>
      </c>
      <c r="F79" s="68">
        <f>(+Amortizacion!L74+Amortizacion!U74)/$A$5</f>
        <v>0</v>
      </c>
      <c r="G79" s="68">
        <f>Amortizacion!AA74/$A$5</f>
        <v>0</v>
      </c>
      <c r="H79" s="69">
        <f t="shared" si="1"/>
        <v>0</v>
      </c>
      <c r="I79" s="70"/>
      <c r="J79" s="71"/>
    </row>
    <row r="80" spans="1:10" x14ac:dyDescent="0.35">
      <c r="A80" s="67">
        <v>74</v>
      </c>
      <c r="B80" s="68">
        <f>-Amortizacion!Y75/$A$5</f>
        <v>0</v>
      </c>
      <c r="C80" s="68">
        <f>-Amortizacion!H75/$A$5</f>
        <v>0</v>
      </c>
      <c r="D80" s="68">
        <f>(-Amortizacion!I75-Amortizacion!R75)/$A$5</f>
        <v>0</v>
      </c>
      <c r="E80" s="68">
        <f>Amortizacion!O75/$A$5</f>
        <v>0</v>
      </c>
      <c r="F80" s="68">
        <f>(+Amortizacion!L75+Amortizacion!U75)/$A$5</f>
        <v>0</v>
      </c>
      <c r="G80" s="68">
        <f>Amortizacion!AA75/$A$5</f>
        <v>0</v>
      </c>
      <c r="H80" s="69">
        <f t="shared" si="1"/>
        <v>0</v>
      </c>
      <c r="I80" s="70"/>
    </row>
    <row r="81" spans="1:9" x14ac:dyDescent="0.35">
      <c r="A81" s="67">
        <v>75</v>
      </c>
      <c r="B81" s="68">
        <f>-Amortizacion!Y76/$A$5</f>
        <v>0</v>
      </c>
      <c r="C81" s="68">
        <f>-Amortizacion!H76/$A$5</f>
        <v>0</v>
      </c>
      <c r="D81" s="68">
        <f>(-Amortizacion!I76-Amortizacion!R76)/$A$5</f>
        <v>0</v>
      </c>
      <c r="E81" s="68">
        <f>Amortizacion!O76/$A$5</f>
        <v>0</v>
      </c>
      <c r="F81" s="68">
        <f>(+Amortizacion!L76+Amortizacion!U76)/$A$5</f>
        <v>0</v>
      </c>
      <c r="G81" s="68">
        <f>Amortizacion!AA76/$A$5</f>
        <v>0</v>
      </c>
      <c r="H81" s="69">
        <f t="shared" si="1"/>
        <v>0</v>
      </c>
      <c r="I81" s="70"/>
    </row>
    <row r="82" spans="1:9" x14ac:dyDescent="0.35">
      <c r="A82" s="67">
        <v>76</v>
      </c>
      <c r="B82" s="68">
        <f>-Amortizacion!Y77/$A$5</f>
        <v>0</v>
      </c>
      <c r="C82" s="68">
        <f>-Amortizacion!H77/$A$5</f>
        <v>0</v>
      </c>
      <c r="D82" s="68">
        <f>(-Amortizacion!I77-Amortizacion!R77)/$A$5</f>
        <v>0</v>
      </c>
      <c r="E82" s="68">
        <f>Amortizacion!O77/$A$5</f>
        <v>0</v>
      </c>
      <c r="F82" s="68">
        <f>(+Amortizacion!L77+Amortizacion!U77)/$A$5</f>
        <v>0</v>
      </c>
      <c r="G82" s="68">
        <f>Amortizacion!AA77/$A$5</f>
        <v>0</v>
      </c>
      <c r="H82" s="69">
        <f t="shared" si="1"/>
        <v>0</v>
      </c>
      <c r="I82" s="70"/>
    </row>
    <row r="83" spans="1:9" x14ac:dyDescent="0.35">
      <c r="A83" s="67">
        <v>77</v>
      </c>
      <c r="B83" s="68">
        <f>-Amortizacion!Y78/$A$5</f>
        <v>0</v>
      </c>
      <c r="C83" s="68">
        <f>-Amortizacion!H78/$A$5</f>
        <v>0</v>
      </c>
      <c r="D83" s="68">
        <f>(-Amortizacion!I78-Amortizacion!R78)/$A$5</f>
        <v>0</v>
      </c>
      <c r="E83" s="68">
        <f>Amortizacion!O78/$A$5</f>
        <v>0</v>
      </c>
      <c r="F83" s="68">
        <f>(+Amortizacion!L78+Amortizacion!U78)/$A$5</f>
        <v>0</v>
      </c>
      <c r="G83" s="68">
        <f>Amortizacion!AA78/$A$5</f>
        <v>0</v>
      </c>
      <c r="H83" s="69">
        <f t="shared" si="1"/>
        <v>0</v>
      </c>
      <c r="I83" s="70"/>
    </row>
    <row r="84" spans="1:9" x14ac:dyDescent="0.35">
      <c r="A84" s="67">
        <v>78</v>
      </c>
      <c r="B84" s="68">
        <f>-Amortizacion!Y79/$A$5</f>
        <v>0</v>
      </c>
      <c r="C84" s="68">
        <f>-Amortizacion!H79/$A$5</f>
        <v>0</v>
      </c>
      <c r="D84" s="68">
        <f>(-Amortizacion!I79-Amortizacion!R79)/$A$5</f>
        <v>0</v>
      </c>
      <c r="E84" s="68">
        <f>Amortizacion!O79/$A$5</f>
        <v>0</v>
      </c>
      <c r="F84" s="68">
        <f>(+Amortizacion!L79+Amortizacion!U79)/$A$5</f>
        <v>0</v>
      </c>
      <c r="G84" s="68">
        <f>Amortizacion!AA79/$A$5</f>
        <v>0</v>
      </c>
      <c r="H84" s="69">
        <f t="shared" si="1"/>
        <v>0</v>
      </c>
      <c r="I84" s="70"/>
    </row>
    <row r="85" spans="1:9" x14ac:dyDescent="0.35">
      <c r="A85" s="67">
        <v>79</v>
      </c>
      <c r="B85" s="68">
        <f>-Amortizacion!Y80/$A$5</f>
        <v>0</v>
      </c>
      <c r="C85" s="68">
        <f>-Amortizacion!H80/$A$5</f>
        <v>0</v>
      </c>
      <c r="D85" s="68">
        <f>(-Amortizacion!I80-Amortizacion!R80)/$A$5</f>
        <v>0</v>
      </c>
      <c r="E85" s="68">
        <f>Amortizacion!O80/$A$5</f>
        <v>0</v>
      </c>
      <c r="F85" s="68">
        <f>(+Amortizacion!L80+Amortizacion!U80)/$A$5</f>
        <v>0</v>
      </c>
      <c r="G85" s="68">
        <f>Amortizacion!AA80/$A$5</f>
        <v>0</v>
      </c>
      <c r="H85" s="69">
        <f t="shared" si="1"/>
        <v>0</v>
      </c>
      <c r="I85" s="70"/>
    </row>
    <row r="86" spans="1:9" x14ac:dyDescent="0.35">
      <c r="A86" s="67">
        <v>80</v>
      </c>
      <c r="B86" s="68">
        <f>-Amortizacion!Y81/$A$5</f>
        <v>0</v>
      </c>
      <c r="C86" s="68">
        <f>-Amortizacion!H81/$A$5</f>
        <v>0</v>
      </c>
      <c r="D86" s="68">
        <f>(-Amortizacion!I81-Amortizacion!R81)/$A$5</f>
        <v>0</v>
      </c>
      <c r="E86" s="68">
        <f>Amortizacion!O81/$A$5</f>
        <v>0</v>
      </c>
      <c r="F86" s="68">
        <f>(+Amortizacion!L81+Amortizacion!U81)/$A$5</f>
        <v>0</v>
      </c>
      <c r="G86" s="68">
        <f>Amortizacion!AA81/$A$5</f>
        <v>0</v>
      </c>
      <c r="H86" s="69">
        <f t="shared" si="1"/>
        <v>0</v>
      </c>
      <c r="I86" s="70"/>
    </row>
    <row r="87" spans="1:9" x14ac:dyDescent="0.35">
      <c r="A87" s="67">
        <v>81</v>
      </c>
      <c r="B87" s="68">
        <f>-Amortizacion!Y82/$A$5</f>
        <v>0</v>
      </c>
      <c r="C87" s="68">
        <f>-Amortizacion!H82/$A$5</f>
        <v>0</v>
      </c>
      <c r="D87" s="68">
        <f>(-Amortizacion!I82-Amortizacion!R82)/$A$5</f>
        <v>0</v>
      </c>
      <c r="E87" s="68">
        <f>Amortizacion!O82/$A$5</f>
        <v>0</v>
      </c>
      <c r="F87" s="68">
        <f>(+Amortizacion!L82+Amortizacion!U82)/$A$5</f>
        <v>0</v>
      </c>
      <c r="G87" s="68">
        <f>Amortizacion!AA82/$A$5</f>
        <v>0</v>
      </c>
      <c r="H87" s="69">
        <f t="shared" si="1"/>
        <v>0</v>
      </c>
      <c r="I87" s="70"/>
    </row>
    <row r="88" spans="1:9" x14ac:dyDescent="0.35">
      <c r="A88" s="67">
        <v>82</v>
      </c>
      <c r="B88" s="68">
        <f>-Amortizacion!Y83/$A$5</f>
        <v>0</v>
      </c>
      <c r="C88" s="68">
        <f>-Amortizacion!H83/$A$5</f>
        <v>0</v>
      </c>
      <c r="D88" s="68">
        <f>(-Amortizacion!I83-Amortizacion!R83)/$A$5</f>
        <v>0</v>
      </c>
      <c r="E88" s="68">
        <f>Amortizacion!O83/$A$5</f>
        <v>0</v>
      </c>
      <c r="F88" s="68">
        <f>(+Amortizacion!L83+Amortizacion!U83)/$A$5</f>
        <v>0</v>
      </c>
      <c r="G88" s="68">
        <f>Amortizacion!AA83/$A$5</f>
        <v>0</v>
      </c>
      <c r="H88" s="69">
        <f t="shared" si="1"/>
        <v>0</v>
      </c>
      <c r="I88" s="70"/>
    </row>
    <row r="89" spans="1:9" x14ac:dyDescent="0.35">
      <c r="A89" s="67">
        <v>83</v>
      </c>
      <c r="B89" s="68">
        <f>-Amortizacion!Y84/$A$5</f>
        <v>0</v>
      </c>
      <c r="C89" s="68">
        <f>-Amortizacion!H84/$A$5</f>
        <v>0</v>
      </c>
      <c r="D89" s="68">
        <f>(-Amortizacion!I84-Amortizacion!R84)/$A$5</f>
        <v>0</v>
      </c>
      <c r="E89" s="68">
        <f>Amortizacion!O84/$A$5</f>
        <v>0</v>
      </c>
      <c r="F89" s="68">
        <f>(+Amortizacion!L84+Amortizacion!U84)/$A$5</f>
        <v>0</v>
      </c>
      <c r="G89" s="68">
        <f>Amortizacion!AA84/$A$5</f>
        <v>0</v>
      </c>
      <c r="H89" s="69">
        <f t="shared" si="1"/>
        <v>0</v>
      </c>
      <c r="I89" s="70"/>
    </row>
    <row r="90" spans="1:9" x14ac:dyDescent="0.35">
      <c r="A90" s="67">
        <v>84</v>
      </c>
      <c r="B90" s="68">
        <f>-Amortizacion!Y85/$A$5</f>
        <v>0</v>
      </c>
      <c r="C90" s="68">
        <f>-Amortizacion!H85/$A$5</f>
        <v>0</v>
      </c>
      <c r="D90" s="68">
        <f>(-Amortizacion!I85-Amortizacion!R85)/$A$5</f>
        <v>0</v>
      </c>
      <c r="E90" s="68">
        <f>Amortizacion!O85/$A$5</f>
        <v>0</v>
      </c>
      <c r="F90" s="68">
        <f>(+Amortizacion!L85+Amortizacion!U85)/$A$5</f>
        <v>0</v>
      </c>
      <c r="G90" s="68">
        <f>Amortizacion!AA85/$A$5</f>
        <v>0</v>
      </c>
      <c r="H90" s="69">
        <f t="shared" si="1"/>
        <v>0</v>
      </c>
      <c r="I90" s="70"/>
    </row>
    <row r="91" spans="1:9" x14ac:dyDescent="0.35">
      <c r="A91" s="67">
        <v>85</v>
      </c>
      <c r="B91" s="68">
        <f>-Amortizacion!Y86/$A$5</f>
        <v>0</v>
      </c>
      <c r="C91" s="68">
        <f>-Amortizacion!H86/$A$5</f>
        <v>0</v>
      </c>
      <c r="D91" s="68">
        <f>(-Amortizacion!I86-Amortizacion!R86)/$A$5</f>
        <v>0</v>
      </c>
      <c r="E91" s="68">
        <f>Amortizacion!O86/$A$5</f>
        <v>0</v>
      </c>
      <c r="F91" s="68">
        <f>(+Amortizacion!L86+Amortizacion!U86)/$A$5</f>
        <v>0</v>
      </c>
      <c r="G91" s="68">
        <f>Amortizacion!AA86/$A$5</f>
        <v>0</v>
      </c>
      <c r="H91" s="69">
        <f t="shared" si="1"/>
        <v>0</v>
      </c>
      <c r="I91" s="70"/>
    </row>
    <row r="92" spans="1:9" x14ac:dyDescent="0.35">
      <c r="A92" s="67">
        <v>86</v>
      </c>
      <c r="B92" s="68">
        <f>-Amortizacion!Y87/$A$5</f>
        <v>0</v>
      </c>
      <c r="C92" s="68">
        <f>-Amortizacion!H87/$A$5</f>
        <v>0</v>
      </c>
      <c r="D92" s="68">
        <f>(-Amortizacion!I87-Amortizacion!R87)/$A$5</f>
        <v>0</v>
      </c>
      <c r="E92" s="68">
        <f>Amortizacion!O87/$A$5</f>
        <v>0</v>
      </c>
      <c r="F92" s="68">
        <f>(+Amortizacion!L87+Amortizacion!U87)/$A$5</f>
        <v>0</v>
      </c>
      <c r="G92" s="68">
        <f>Amortizacion!AA87/$A$5</f>
        <v>0</v>
      </c>
      <c r="H92" s="69">
        <f t="shared" si="1"/>
        <v>0</v>
      </c>
      <c r="I92" s="70"/>
    </row>
    <row r="93" spans="1:9" x14ac:dyDescent="0.35">
      <c r="A93" s="67">
        <v>87</v>
      </c>
      <c r="B93" s="68">
        <f>-Amortizacion!Y88/$A$5</f>
        <v>0</v>
      </c>
      <c r="C93" s="68">
        <f>-Amortizacion!H88/$A$5</f>
        <v>0</v>
      </c>
      <c r="D93" s="68">
        <f>(-Amortizacion!I88-Amortizacion!R88)/$A$5</f>
        <v>0</v>
      </c>
      <c r="E93" s="68">
        <f>Amortizacion!O88/$A$5</f>
        <v>0</v>
      </c>
      <c r="F93" s="68">
        <f>(+Amortizacion!L88+Amortizacion!U88)/$A$5</f>
        <v>0</v>
      </c>
      <c r="G93" s="68">
        <f>Amortizacion!AA88/$A$5</f>
        <v>0</v>
      </c>
      <c r="H93" s="69">
        <f t="shared" si="1"/>
        <v>0</v>
      </c>
      <c r="I93" s="70"/>
    </row>
    <row r="94" spans="1:9" x14ac:dyDescent="0.35">
      <c r="A94" s="67">
        <v>88</v>
      </c>
      <c r="B94" s="68">
        <f>-Amortizacion!Y89/$A$5</f>
        <v>0</v>
      </c>
      <c r="C94" s="68">
        <f>-Amortizacion!H89/$A$5</f>
        <v>0</v>
      </c>
      <c r="D94" s="68">
        <f>(-Amortizacion!I89-Amortizacion!R89)/$A$5</f>
        <v>0</v>
      </c>
      <c r="E94" s="68">
        <f>Amortizacion!O89/$A$5</f>
        <v>0</v>
      </c>
      <c r="F94" s="68">
        <f>(+Amortizacion!L89+Amortizacion!U89)/$A$5</f>
        <v>0</v>
      </c>
      <c r="G94" s="68">
        <f>Amortizacion!AA89/$A$5</f>
        <v>0</v>
      </c>
      <c r="H94" s="69">
        <f t="shared" si="1"/>
        <v>0</v>
      </c>
      <c r="I94" s="70"/>
    </row>
    <row r="95" spans="1:9" x14ac:dyDescent="0.35">
      <c r="A95" s="67">
        <v>89</v>
      </c>
      <c r="B95" s="68">
        <f>-Amortizacion!Y90/$A$5</f>
        <v>0</v>
      </c>
      <c r="C95" s="68">
        <f>-Amortizacion!H90/$A$5</f>
        <v>0</v>
      </c>
      <c r="D95" s="68">
        <f>(-Amortizacion!I90-Amortizacion!R90)/$A$5</f>
        <v>0</v>
      </c>
      <c r="E95" s="68">
        <f>Amortizacion!O90/$A$5</f>
        <v>0</v>
      </c>
      <c r="F95" s="68">
        <f>(+Amortizacion!L90+Amortizacion!U90)/$A$5</f>
        <v>0</v>
      </c>
      <c r="G95" s="68">
        <f>Amortizacion!AA90/$A$5</f>
        <v>0</v>
      </c>
      <c r="H95" s="69">
        <f t="shared" si="1"/>
        <v>0</v>
      </c>
      <c r="I95" s="70"/>
    </row>
    <row r="96" spans="1:9" x14ac:dyDescent="0.35">
      <c r="A96" s="67">
        <v>90</v>
      </c>
      <c r="B96" s="68">
        <f>-Amortizacion!Y91/$A$5</f>
        <v>0</v>
      </c>
      <c r="C96" s="68">
        <f>-Amortizacion!H91/$A$5</f>
        <v>0</v>
      </c>
      <c r="D96" s="68">
        <f>(-Amortizacion!I91-Amortizacion!R91)/$A$5</f>
        <v>0</v>
      </c>
      <c r="E96" s="68">
        <f>Amortizacion!O91/$A$5</f>
        <v>0</v>
      </c>
      <c r="F96" s="68">
        <f>(+Amortizacion!L91+Amortizacion!U91)/$A$5</f>
        <v>0</v>
      </c>
      <c r="G96" s="68">
        <f>Amortizacion!AA91/$A$5</f>
        <v>0</v>
      </c>
      <c r="H96" s="69">
        <f t="shared" si="1"/>
        <v>0</v>
      </c>
      <c r="I96" s="70"/>
    </row>
    <row r="97" spans="1:9" x14ac:dyDescent="0.35">
      <c r="A97" s="67">
        <v>91</v>
      </c>
      <c r="B97" s="68">
        <f>-Amortizacion!Y92/$A$5</f>
        <v>0</v>
      </c>
      <c r="C97" s="68">
        <f>-Amortizacion!H92/$A$5</f>
        <v>0</v>
      </c>
      <c r="D97" s="68">
        <f>(-Amortizacion!I92-Amortizacion!R92)/$A$5</f>
        <v>0</v>
      </c>
      <c r="E97" s="68">
        <f>Amortizacion!O92/$A$5</f>
        <v>0</v>
      </c>
      <c r="F97" s="68">
        <f>(+Amortizacion!L92+Amortizacion!U92)/$A$5</f>
        <v>0</v>
      </c>
      <c r="G97" s="68">
        <f>Amortizacion!AA92/$A$5</f>
        <v>0</v>
      </c>
      <c r="H97" s="69">
        <f t="shared" si="1"/>
        <v>0</v>
      </c>
      <c r="I97" s="70"/>
    </row>
    <row r="98" spans="1:9" x14ac:dyDescent="0.35">
      <c r="A98" s="67">
        <v>92</v>
      </c>
      <c r="B98" s="68">
        <f>-Amortizacion!Y93/$A$5</f>
        <v>0</v>
      </c>
      <c r="C98" s="68">
        <f>-Amortizacion!H93/$A$5</f>
        <v>0</v>
      </c>
      <c r="D98" s="68">
        <f>(-Amortizacion!I93-Amortizacion!R93)/$A$5</f>
        <v>0</v>
      </c>
      <c r="E98" s="68">
        <f>Amortizacion!O93/$A$5</f>
        <v>0</v>
      </c>
      <c r="F98" s="68">
        <f>(+Amortizacion!L93+Amortizacion!U93)/$A$5</f>
        <v>0</v>
      </c>
      <c r="G98" s="68">
        <f>Amortizacion!AA93/$A$5</f>
        <v>0</v>
      </c>
      <c r="H98" s="69">
        <f t="shared" si="1"/>
        <v>0</v>
      </c>
      <c r="I98" s="70"/>
    </row>
    <row r="99" spans="1:9" x14ac:dyDescent="0.35">
      <c r="A99" s="67">
        <v>93</v>
      </c>
      <c r="B99" s="68">
        <f>-Amortizacion!Y94/$A$5</f>
        <v>0</v>
      </c>
      <c r="C99" s="68">
        <f>-Amortizacion!H94/$A$5</f>
        <v>0</v>
      </c>
      <c r="D99" s="68">
        <f>(-Amortizacion!I94-Amortizacion!R94)/$A$5</f>
        <v>0</v>
      </c>
      <c r="E99" s="68">
        <f>Amortizacion!O94/$A$5</f>
        <v>0</v>
      </c>
      <c r="F99" s="68">
        <f>(+Amortizacion!L94+Amortizacion!U94)/$A$5</f>
        <v>0</v>
      </c>
      <c r="G99" s="68">
        <f>Amortizacion!AA94/$A$5</f>
        <v>0</v>
      </c>
      <c r="H99" s="69">
        <f t="shared" si="1"/>
        <v>0</v>
      </c>
      <c r="I99" s="70"/>
    </row>
    <row r="100" spans="1:9" x14ac:dyDescent="0.35">
      <c r="A100" s="67">
        <v>94</v>
      </c>
      <c r="B100" s="68">
        <f>-Amortizacion!Y95/$A$5</f>
        <v>0</v>
      </c>
      <c r="C100" s="68">
        <f>-Amortizacion!H95/$A$5</f>
        <v>0</v>
      </c>
      <c r="D100" s="68">
        <f>(-Amortizacion!I95-Amortizacion!R95)/$A$5</f>
        <v>0</v>
      </c>
      <c r="E100" s="68">
        <f>Amortizacion!O95/$A$5</f>
        <v>0</v>
      </c>
      <c r="F100" s="68">
        <f>(+Amortizacion!L95+Amortizacion!U95)/$A$5</f>
        <v>0</v>
      </c>
      <c r="G100" s="68">
        <f>Amortizacion!AA95/$A$5</f>
        <v>0</v>
      </c>
      <c r="H100" s="69">
        <f t="shared" si="1"/>
        <v>0</v>
      </c>
      <c r="I100" s="70"/>
    </row>
    <row r="101" spans="1:9" x14ac:dyDescent="0.35">
      <c r="A101" s="67">
        <v>95</v>
      </c>
      <c r="B101" s="68">
        <f>-Amortizacion!Y96/$A$5</f>
        <v>0</v>
      </c>
      <c r="C101" s="68">
        <f>-Amortizacion!H96/$A$5</f>
        <v>0</v>
      </c>
      <c r="D101" s="68">
        <f>(-Amortizacion!I96-Amortizacion!R96)/$A$5</f>
        <v>0</v>
      </c>
      <c r="E101" s="68">
        <f>Amortizacion!O96/$A$5</f>
        <v>0</v>
      </c>
      <c r="F101" s="68">
        <f>(+Amortizacion!L96+Amortizacion!U96)/$A$5</f>
        <v>0</v>
      </c>
      <c r="G101" s="68">
        <f>Amortizacion!AA96/$A$5</f>
        <v>0</v>
      </c>
      <c r="H101" s="69">
        <f t="shared" si="1"/>
        <v>0</v>
      </c>
      <c r="I101" s="70"/>
    </row>
    <row r="102" spans="1:9" x14ac:dyDescent="0.35">
      <c r="A102" s="67">
        <v>96</v>
      </c>
      <c r="B102" s="68">
        <f>-Amortizacion!Y97/$A$5</f>
        <v>0</v>
      </c>
      <c r="C102" s="68">
        <f>-Amortizacion!H97/$A$5</f>
        <v>0</v>
      </c>
      <c r="D102" s="68">
        <f>(-Amortizacion!I97-Amortizacion!R97)/$A$5</f>
        <v>0</v>
      </c>
      <c r="E102" s="68">
        <f>Amortizacion!O97/$A$5</f>
        <v>0</v>
      </c>
      <c r="F102" s="68">
        <f>(+Amortizacion!L97+Amortizacion!U97)/$A$5</f>
        <v>0</v>
      </c>
      <c r="G102" s="68">
        <f>Amortizacion!AA97/$A$5</f>
        <v>0</v>
      </c>
      <c r="H102" s="69">
        <f t="shared" si="1"/>
        <v>0</v>
      </c>
      <c r="I102" s="70"/>
    </row>
    <row r="103" spans="1:9" x14ac:dyDescent="0.35">
      <c r="A103" s="67">
        <v>97</v>
      </c>
      <c r="B103" s="68">
        <f>-Amortizacion!Y98/$A$5</f>
        <v>0</v>
      </c>
      <c r="C103" s="68">
        <f>-Amortizacion!H98/$A$5</f>
        <v>0</v>
      </c>
      <c r="D103" s="68">
        <f>(-Amortizacion!I98-Amortizacion!R98)/$A$5</f>
        <v>0</v>
      </c>
      <c r="E103" s="68">
        <f>Amortizacion!O98/$A$5</f>
        <v>0</v>
      </c>
      <c r="F103" s="68">
        <f>(+Amortizacion!L98+Amortizacion!U98)/$A$5</f>
        <v>0</v>
      </c>
      <c r="G103" s="68">
        <f>Amortizacion!AA98/$A$5</f>
        <v>0</v>
      </c>
      <c r="H103" s="69">
        <f t="shared" si="1"/>
        <v>0</v>
      </c>
      <c r="I103" s="70"/>
    </row>
    <row r="104" spans="1:9" x14ac:dyDescent="0.35">
      <c r="A104" s="67">
        <v>98</v>
      </c>
      <c r="B104" s="68">
        <f>-Amortizacion!Y99/$A$5</f>
        <v>0</v>
      </c>
      <c r="C104" s="68">
        <f>-Amortizacion!H99/$A$5</f>
        <v>0</v>
      </c>
      <c r="D104" s="68">
        <f>(-Amortizacion!I99-Amortizacion!R99)/$A$5</f>
        <v>0</v>
      </c>
      <c r="E104" s="68">
        <f>Amortizacion!O99/$A$5</f>
        <v>0</v>
      </c>
      <c r="F104" s="68">
        <f>(+Amortizacion!L99+Amortizacion!U99)/$A$5</f>
        <v>0</v>
      </c>
      <c r="G104" s="68">
        <f>Amortizacion!AA99/$A$5</f>
        <v>0</v>
      </c>
      <c r="H104" s="69">
        <f t="shared" si="1"/>
        <v>0</v>
      </c>
      <c r="I104" s="70"/>
    </row>
    <row r="105" spans="1:9" x14ac:dyDescent="0.35">
      <c r="A105" s="67">
        <v>99</v>
      </c>
      <c r="B105" s="68">
        <f>-Amortizacion!Y100/$A$5</f>
        <v>0</v>
      </c>
      <c r="C105" s="68">
        <f>-Amortizacion!H100/$A$5</f>
        <v>0</v>
      </c>
      <c r="D105" s="68">
        <f>(-Amortizacion!I100-Amortizacion!R100)/$A$5</f>
        <v>0</v>
      </c>
      <c r="E105" s="68">
        <f>Amortizacion!O100/$A$5</f>
        <v>0</v>
      </c>
      <c r="F105" s="68">
        <f>(+Amortizacion!L100+Amortizacion!U100)/$A$5</f>
        <v>0</v>
      </c>
      <c r="G105" s="68">
        <f>Amortizacion!AA100/$A$5</f>
        <v>0</v>
      </c>
      <c r="H105" s="69">
        <f t="shared" si="1"/>
        <v>0</v>
      </c>
      <c r="I105" s="70"/>
    </row>
    <row r="106" spans="1:9" x14ac:dyDescent="0.35">
      <c r="A106" s="67">
        <v>100</v>
      </c>
      <c r="B106" s="68">
        <f>-Amortizacion!Y101/$A$5</f>
        <v>0</v>
      </c>
      <c r="C106" s="68">
        <f>-Amortizacion!H101/$A$5</f>
        <v>0</v>
      </c>
      <c r="D106" s="68">
        <f>(-Amortizacion!I101-Amortizacion!R101)/$A$5</f>
        <v>0</v>
      </c>
      <c r="E106" s="68">
        <f>Amortizacion!O101/$A$5</f>
        <v>0</v>
      </c>
      <c r="F106" s="68">
        <f>(+Amortizacion!L101+Amortizacion!U101)/$A$5</f>
        <v>0</v>
      </c>
      <c r="G106" s="68">
        <f>Amortizacion!AA101/$A$5</f>
        <v>0</v>
      </c>
      <c r="H106" s="69">
        <f t="shared" si="1"/>
        <v>0</v>
      </c>
      <c r="I106" s="70"/>
    </row>
    <row r="107" spans="1:9" x14ac:dyDescent="0.35">
      <c r="A107" s="67">
        <v>101</v>
      </c>
      <c r="B107" s="68">
        <f>-Amortizacion!Y102/$A$5</f>
        <v>0</v>
      </c>
      <c r="C107" s="68">
        <f>-Amortizacion!H102/$A$5</f>
        <v>0</v>
      </c>
      <c r="D107" s="68">
        <f>(-Amortizacion!I102-Amortizacion!R102)/$A$5</f>
        <v>0</v>
      </c>
      <c r="E107" s="68">
        <f>Amortizacion!O102/$A$5</f>
        <v>0</v>
      </c>
      <c r="F107" s="68">
        <f>(+Amortizacion!L102+Amortizacion!U102)/$A$5</f>
        <v>0</v>
      </c>
      <c r="G107" s="68">
        <f>Amortizacion!AA102/$A$5</f>
        <v>0</v>
      </c>
      <c r="H107" s="69">
        <f t="shared" si="1"/>
        <v>0</v>
      </c>
      <c r="I107" s="70"/>
    </row>
    <row r="108" spans="1:9" x14ac:dyDescent="0.35">
      <c r="A108" s="67">
        <v>102</v>
      </c>
      <c r="B108" s="68">
        <f>-Amortizacion!Y103/$A$5</f>
        <v>0</v>
      </c>
      <c r="C108" s="68">
        <f>-Amortizacion!H103/$A$5</f>
        <v>0</v>
      </c>
      <c r="D108" s="68">
        <f>(-Amortizacion!I103-Amortizacion!R103)/$A$5</f>
        <v>0</v>
      </c>
      <c r="E108" s="68">
        <f>Amortizacion!O103/$A$5</f>
        <v>0</v>
      </c>
      <c r="F108" s="68">
        <f>(+Amortizacion!L103+Amortizacion!U103)/$A$5</f>
        <v>0</v>
      </c>
      <c r="G108" s="68">
        <f>Amortizacion!AA103/$A$5</f>
        <v>0</v>
      </c>
      <c r="H108" s="69">
        <f t="shared" si="1"/>
        <v>0</v>
      </c>
      <c r="I108" s="70"/>
    </row>
    <row r="109" spans="1:9" x14ac:dyDescent="0.35">
      <c r="A109" s="67">
        <v>103</v>
      </c>
      <c r="B109" s="68">
        <f>-Amortizacion!Y104/$A$5</f>
        <v>0</v>
      </c>
      <c r="C109" s="68">
        <f>-Amortizacion!H104/$A$5</f>
        <v>0</v>
      </c>
      <c r="D109" s="68">
        <f>(-Amortizacion!I104-Amortizacion!R104)/$A$5</f>
        <v>0</v>
      </c>
      <c r="E109" s="68">
        <f>Amortizacion!O104/$A$5</f>
        <v>0</v>
      </c>
      <c r="F109" s="68">
        <f>(+Amortizacion!L104+Amortizacion!U104)/$A$5</f>
        <v>0</v>
      </c>
      <c r="G109" s="68">
        <f>Amortizacion!AA104/$A$5</f>
        <v>0</v>
      </c>
      <c r="H109" s="69">
        <f t="shared" si="1"/>
        <v>0</v>
      </c>
      <c r="I109" s="70"/>
    </row>
    <row r="110" spans="1:9" x14ac:dyDescent="0.35">
      <c r="A110" s="67">
        <v>104</v>
      </c>
      <c r="B110" s="68">
        <f>-Amortizacion!Y105/$A$5</f>
        <v>0</v>
      </c>
      <c r="C110" s="68">
        <f>-Amortizacion!H105/$A$5</f>
        <v>0</v>
      </c>
      <c r="D110" s="68">
        <f>(-Amortizacion!I105-Amortizacion!R105)/$A$5</f>
        <v>0</v>
      </c>
      <c r="E110" s="68">
        <f>Amortizacion!O105/$A$5</f>
        <v>0</v>
      </c>
      <c r="F110" s="68">
        <f>(+Amortizacion!L105+Amortizacion!U105)/$A$5</f>
        <v>0</v>
      </c>
      <c r="G110" s="68">
        <f>Amortizacion!AA105/$A$5</f>
        <v>0</v>
      </c>
      <c r="H110" s="69">
        <f t="shared" si="1"/>
        <v>0</v>
      </c>
      <c r="I110" s="70"/>
    </row>
    <row r="111" spans="1:9" x14ac:dyDescent="0.35">
      <c r="A111" s="67">
        <v>105</v>
      </c>
      <c r="B111" s="68">
        <f>-Amortizacion!Y106/$A$5</f>
        <v>0</v>
      </c>
      <c r="C111" s="68">
        <f>-Amortizacion!H106/$A$5</f>
        <v>0</v>
      </c>
      <c r="D111" s="68">
        <f>(-Amortizacion!I106-Amortizacion!R106)/$A$5</f>
        <v>0</v>
      </c>
      <c r="E111" s="68">
        <f>Amortizacion!O106/$A$5</f>
        <v>0</v>
      </c>
      <c r="F111" s="68">
        <f>(+Amortizacion!L106+Amortizacion!U106)/$A$5</f>
        <v>0</v>
      </c>
      <c r="G111" s="68">
        <f>Amortizacion!AA106/$A$5</f>
        <v>0</v>
      </c>
      <c r="H111" s="69">
        <f t="shared" si="1"/>
        <v>0</v>
      </c>
      <c r="I111" s="70"/>
    </row>
    <row r="112" spans="1:9" x14ac:dyDescent="0.35">
      <c r="A112" s="67">
        <v>106</v>
      </c>
      <c r="B112" s="68">
        <f>-Amortizacion!Y107/$A$5</f>
        <v>0</v>
      </c>
      <c r="C112" s="68">
        <f>-Amortizacion!H107/$A$5</f>
        <v>0</v>
      </c>
      <c r="D112" s="68">
        <f>(-Amortizacion!I107-Amortizacion!R107)/$A$5</f>
        <v>0</v>
      </c>
      <c r="E112" s="68">
        <f>Amortizacion!O107/$A$5</f>
        <v>0</v>
      </c>
      <c r="F112" s="68">
        <f>(+Amortizacion!L107+Amortizacion!U107)/$A$5</f>
        <v>0</v>
      </c>
      <c r="G112" s="68">
        <f>Amortizacion!AA107/$A$5</f>
        <v>0</v>
      </c>
      <c r="H112" s="69">
        <f t="shared" si="1"/>
        <v>0</v>
      </c>
      <c r="I112" s="70"/>
    </row>
    <row r="113" spans="1:9" x14ac:dyDescent="0.35">
      <c r="A113" s="67">
        <v>107</v>
      </c>
      <c r="B113" s="68">
        <f>-Amortizacion!Y108/$A$5</f>
        <v>0</v>
      </c>
      <c r="C113" s="68">
        <f>-Amortizacion!H108/$A$5</f>
        <v>0</v>
      </c>
      <c r="D113" s="68">
        <f>(-Amortizacion!I108-Amortizacion!R108)/$A$5</f>
        <v>0</v>
      </c>
      <c r="E113" s="68">
        <f>Amortizacion!O108/$A$5</f>
        <v>0</v>
      </c>
      <c r="F113" s="68">
        <f>(+Amortizacion!L108+Amortizacion!U108)/$A$5</f>
        <v>0</v>
      </c>
      <c r="G113" s="68">
        <f>Amortizacion!AA108/$A$5</f>
        <v>0</v>
      </c>
      <c r="H113" s="69">
        <f t="shared" si="1"/>
        <v>0</v>
      </c>
      <c r="I113" s="70"/>
    </row>
    <row r="114" spans="1:9" x14ac:dyDescent="0.35">
      <c r="A114" s="67">
        <v>108</v>
      </c>
      <c r="B114" s="68">
        <f>-Amortizacion!Y109/$A$5</f>
        <v>0</v>
      </c>
      <c r="C114" s="68">
        <f>-Amortizacion!H109/$A$5</f>
        <v>0</v>
      </c>
      <c r="D114" s="68">
        <f>(-Amortizacion!I109-Amortizacion!R109)/$A$5</f>
        <v>0</v>
      </c>
      <c r="E114" s="68">
        <f>Amortizacion!O109/$A$5</f>
        <v>0</v>
      </c>
      <c r="F114" s="68">
        <f>(+Amortizacion!L109+Amortizacion!U109)/$A$5</f>
        <v>0</v>
      </c>
      <c r="G114" s="68">
        <f>Amortizacion!AA109/$A$5</f>
        <v>0</v>
      </c>
      <c r="H114" s="69">
        <f t="shared" si="1"/>
        <v>0</v>
      </c>
      <c r="I114" s="70"/>
    </row>
    <row r="115" spans="1:9" x14ac:dyDescent="0.35">
      <c r="A115" s="67">
        <v>109</v>
      </c>
      <c r="B115" s="68">
        <f>-Amortizacion!Y110/$A$5</f>
        <v>0</v>
      </c>
      <c r="C115" s="68">
        <f>-Amortizacion!H110/$A$5</f>
        <v>0</v>
      </c>
      <c r="D115" s="68">
        <f>(-Amortizacion!I110-Amortizacion!R110)/$A$5</f>
        <v>0</v>
      </c>
      <c r="E115" s="68">
        <f>Amortizacion!O110/$A$5</f>
        <v>0</v>
      </c>
      <c r="F115" s="68">
        <f>(+Amortizacion!L110+Amortizacion!U110)/$A$5</f>
        <v>0</v>
      </c>
      <c r="G115" s="68">
        <f>Amortizacion!AA110/$A$5</f>
        <v>0</v>
      </c>
      <c r="H115" s="69">
        <f t="shared" si="1"/>
        <v>0</v>
      </c>
      <c r="I115" s="70"/>
    </row>
    <row r="116" spans="1:9" x14ac:dyDescent="0.35">
      <c r="A116" s="67">
        <v>110</v>
      </c>
      <c r="B116" s="68">
        <f>-Amortizacion!Y111/$A$5</f>
        <v>0</v>
      </c>
      <c r="C116" s="68">
        <f>-Amortizacion!H111/$A$5</f>
        <v>0</v>
      </c>
      <c r="D116" s="68">
        <f>(-Amortizacion!I111-Amortizacion!R111)/$A$5</f>
        <v>0</v>
      </c>
      <c r="E116" s="68">
        <f>Amortizacion!O111/$A$5</f>
        <v>0</v>
      </c>
      <c r="F116" s="68">
        <f>(+Amortizacion!L111+Amortizacion!U111)/$A$5</f>
        <v>0</v>
      </c>
      <c r="G116" s="68">
        <f>Amortizacion!AA111/$A$5</f>
        <v>0</v>
      </c>
      <c r="H116" s="69">
        <f t="shared" si="1"/>
        <v>0</v>
      </c>
      <c r="I116" s="70"/>
    </row>
    <row r="117" spans="1:9" x14ac:dyDescent="0.35">
      <c r="A117" s="67">
        <v>111</v>
      </c>
      <c r="B117" s="68">
        <f>-Amortizacion!Y112/$A$5</f>
        <v>0</v>
      </c>
      <c r="C117" s="68">
        <f>-Amortizacion!H112/$A$5</f>
        <v>0</v>
      </c>
      <c r="D117" s="68">
        <f>(-Amortizacion!I112-Amortizacion!R112)/$A$5</f>
        <v>0</v>
      </c>
      <c r="E117" s="68">
        <f>Amortizacion!O112/$A$5</f>
        <v>0</v>
      </c>
      <c r="F117" s="68">
        <f>(+Amortizacion!L112+Amortizacion!U112)/$A$5</f>
        <v>0</v>
      </c>
      <c r="G117" s="68">
        <f>Amortizacion!AA112/$A$5</f>
        <v>0</v>
      </c>
      <c r="H117" s="69">
        <f t="shared" si="1"/>
        <v>0</v>
      </c>
      <c r="I117" s="70"/>
    </row>
    <row r="118" spans="1:9" x14ac:dyDescent="0.35">
      <c r="A118" s="67">
        <v>112</v>
      </c>
      <c r="B118" s="68">
        <f>-Amortizacion!Y113/$A$5</f>
        <v>0</v>
      </c>
      <c r="C118" s="68">
        <f>-Amortizacion!H113/$A$5</f>
        <v>0</v>
      </c>
      <c r="D118" s="68">
        <f>(-Amortizacion!I113-Amortizacion!R113)/$A$5</f>
        <v>0</v>
      </c>
      <c r="E118" s="68">
        <f>Amortizacion!O113/$A$5</f>
        <v>0</v>
      </c>
      <c r="F118" s="68">
        <f>(+Amortizacion!L113+Amortizacion!U113)/$A$5</f>
        <v>0</v>
      </c>
      <c r="G118" s="68">
        <f>Amortizacion!AA113/$A$5</f>
        <v>0</v>
      </c>
      <c r="H118" s="69">
        <f t="shared" si="1"/>
        <v>0</v>
      </c>
      <c r="I118" s="70"/>
    </row>
    <row r="119" spans="1:9" x14ac:dyDescent="0.35">
      <c r="A119" s="67">
        <v>113</v>
      </c>
      <c r="B119" s="68">
        <f>-Amortizacion!Y114/$A$5</f>
        <v>0</v>
      </c>
      <c r="C119" s="68">
        <f>-Amortizacion!H114/$A$5</f>
        <v>0</v>
      </c>
      <c r="D119" s="68">
        <f>(-Amortizacion!I114-Amortizacion!R114)/$A$5</f>
        <v>0</v>
      </c>
      <c r="E119" s="68">
        <f>Amortizacion!O114/$A$5</f>
        <v>0</v>
      </c>
      <c r="F119" s="68">
        <f>(+Amortizacion!L114+Amortizacion!U114)/$A$5</f>
        <v>0</v>
      </c>
      <c r="G119" s="68">
        <f>Amortizacion!AA114/$A$5</f>
        <v>0</v>
      </c>
      <c r="H119" s="69">
        <f t="shared" si="1"/>
        <v>0</v>
      </c>
      <c r="I119" s="70"/>
    </row>
    <row r="120" spans="1:9" x14ac:dyDescent="0.35">
      <c r="A120" s="67">
        <v>114</v>
      </c>
      <c r="B120" s="68">
        <f>-Amortizacion!Y115/$A$5</f>
        <v>0</v>
      </c>
      <c r="C120" s="68">
        <f>-Amortizacion!H115/$A$5</f>
        <v>0</v>
      </c>
      <c r="D120" s="68">
        <f>(-Amortizacion!I115-Amortizacion!R115)/$A$5</f>
        <v>0</v>
      </c>
      <c r="E120" s="68">
        <f>Amortizacion!O115/$A$5</f>
        <v>0</v>
      </c>
      <c r="F120" s="68">
        <f>(+Amortizacion!L115+Amortizacion!U115)/$A$5</f>
        <v>0</v>
      </c>
      <c r="G120" s="68">
        <f>Amortizacion!AA115/$A$5</f>
        <v>0</v>
      </c>
      <c r="H120" s="69">
        <f t="shared" si="1"/>
        <v>0</v>
      </c>
      <c r="I120" s="70"/>
    </row>
    <row r="121" spans="1:9" x14ac:dyDescent="0.35">
      <c r="A121" s="67">
        <v>115</v>
      </c>
      <c r="B121" s="68">
        <f>-Amortizacion!Y116/$A$5</f>
        <v>0</v>
      </c>
      <c r="C121" s="68">
        <f>-Amortizacion!H116/$A$5</f>
        <v>0</v>
      </c>
      <c r="D121" s="68">
        <f>(-Amortizacion!I116-Amortizacion!R116)/$A$5</f>
        <v>0</v>
      </c>
      <c r="E121" s="68">
        <f>Amortizacion!O116/$A$5</f>
        <v>0</v>
      </c>
      <c r="F121" s="68">
        <f>(+Amortizacion!L116+Amortizacion!U116)/$A$5</f>
        <v>0</v>
      </c>
      <c r="G121" s="68">
        <f>Amortizacion!AA116/$A$5</f>
        <v>0</v>
      </c>
      <c r="H121" s="69">
        <f t="shared" si="1"/>
        <v>0</v>
      </c>
      <c r="I121" s="70"/>
    </row>
    <row r="122" spans="1:9" x14ac:dyDescent="0.35">
      <c r="A122" s="67">
        <v>116</v>
      </c>
      <c r="B122" s="68">
        <f>-Amortizacion!Y117/$A$5</f>
        <v>0</v>
      </c>
      <c r="C122" s="68">
        <f>-Amortizacion!H117/$A$5</f>
        <v>0</v>
      </c>
      <c r="D122" s="68">
        <f>(-Amortizacion!I117-Amortizacion!R117)/$A$5</f>
        <v>0</v>
      </c>
      <c r="E122" s="68">
        <f>Amortizacion!O117/$A$5</f>
        <v>0</v>
      </c>
      <c r="F122" s="68">
        <f>(+Amortizacion!L117+Amortizacion!U117)/$A$5</f>
        <v>0</v>
      </c>
      <c r="G122" s="68">
        <f>Amortizacion!AA117/$A$5</f>
        <v>0</v>
      </c>
      <c r="H122" s="69">
        <f t="shared" si="1"/>
        <v>0</v>
      </c>
      <c r="I122" s="70"/>
    </row>
    <row r="123" spans="1:9" x14ac:dyDescent="0.35">
      <c r="A123" s="67">
        <v>117</v>
      </c>
      <c r="B123" s="68">
        <f>-Amortizacion!Y118/$A$5</f>
        <v>0</v>
      </c>
      <c r="C123" s="68">
        <f>-Amortizacion!H118/$A$5</f>
        <v>0</v>
      </c>
      <c r="D123" s="68">
        <f>(-Amortizacion!I118-Amortizacion!R118)/$A$5</f>
        <v>0</v>
      </c>
      <c r="E123" s="68">
        <f>Amortizacion!O118/$A$5</f>
        <v>0</v>
      </c>
      <c r="F123" s="68">
        <f>(+Amortizacion!L118+Amortizacion!U118)/$A$5</f>
        <v>0</v>
      </c>
      <c r="G123" s="68">
        <f>Amortizacion!AA118/$A$5</f>
        <v>0</v>
      </c>
      <c r="H123" s="69">
        <f t="shared" si="1"/>
        <v>0</v>
      </c>
      <c r="I123" s="70"/>
    </row>
    <row r="124" spans="1:9" x14ac:dyDescent="0.35">
      <c r="A124" s="67">
        <v>118</v>
      </c>
      <c r="B124" s="68">
        <f>-Amortizacion!Y119/$A$5</f>
        <v>0</v>
      </c>
      <c r="C124" s="68">
        <f>-Amortizacion!H119/$A$5</f>
        <v>0</v>
      </c>
      <c r="D124" s="68">
        <f>(-Amortizacion!I119-Amortizacion!R119)/$A$5</f>
        <v>0</v>
      </c>
      <c r="E124" s="68">
        <f>Amortizacion!O119/$A$5</f>
        <v>0</v>
      </c>
      <c r="F124" s="68">
        <f>(+Amortizacion!L119+Amortizacion!U119)/$A$5</f>
        <v>0</v>
      </c>
      <c r="G124" s="68">
        <f>Amortizacion!AA119/$A$5</f>
        <v>0</v>
      </c>
      <c r="H124" s="69">
        <f t="shared" si="1"/>
        <v>0</v>
      </c>
      <c r="I124" s="70"/>
    </row>
    <row r="125" spans="1:9" x14ac:dyDescent="0.35">
      <c r="A125" s="67">
        <v>119</v>
      </c>
      <c r="B125" s="68">
        <f>-Amortizacion!Y120/$A$5</f>
        <v>0</v>
      </c>
      <c r="C125" s="68">
        <f>-Amortizacion!H120/$A$5</f>
        <v>0</v>
      </c>
      <c r="D125" s="68">
        <f>(-Amortizacion!I120-Amortizacion!R120)/$A$5</f>
        <v>0</v>
      </c>
      <c r="E125" s="68">
        <f>Amortizacion!O120/$A$5</f>
        <v>0</v>
      </c>
      <c r="F125" s="68">
        <f>(+Amortizacion!L120+Amortizacion!U120)/$A$5</f>
        <v>0</v>
      </c>
      <c r="G125" s="68">
        <f>Amortizacion!AA120/$A$5</f>
        <v>0</v>
      </c>
      <c r="H125" s="69">
        <f t="shared" si="1"/>
        <v>0</v>
      </c>
      <c r="I125" s="70"/>
    </row>
    <row r="126" spans="1:9" x14ac:dyDescent="0.35">
      <c r="A126" s="67">
        <v>120</v>
      </c>
      <c r="B126" s="68">
        <f>-Amortizacion!Y121/$A$5</f>
        <v>0</v>
      </c>
      <c r="C126" s="68">
        <f>-Amortizacion!H121/$A$5</f>
        <v>0</v>
      </c>
      <c r="D126" s="68">
        <f>(-Amortizacion!I121-Amortizacion!R121)/$A$5</f>
        <v>0</v>
      </c>
      <c r="E126" s="68">
        <f>Amortizacion!O121/$A$5</f>
        <v>0</v>
      </c>
      <c r="F126" s="68">
        <f>(+Amortizacion!L121+Amortizacion!U121)/$A$5</f>
        <v>0</v>
      </c>
      <c r="G126" s="68">
        <f>Amortizacion!AA121/$A$5</f>
        <v>0</v>
      </c>
      <c r="H126" s="69">
        <f t="shared" si="1"/>
        <v>0</v>
      </c>
      <c r="I126" s="70"/>
    </row>
    <row r="127" spans="1:9" x14ac:dyDescent="0.35">
      <c r="A127" s="67">
        <v>121</v>
      </c>
      <c r="B127" s="68">
        <f>-Amortizacion!Y122/$A$5</f>
        <v>0</v>
      </c>
      <c r="C127" s="68">
        <f>-Amortizacion!H122/$A$5</f>
        <v>0</v>
      </c>
      <c r="D127" s="68">
        <f>(-Amortizacion!I122-Amortizacion!R122)/$A$5</f>
        <v>0</v>
      </c>
      <c r="E127" s="68">
        <f>Amortizacion!O122/$A$5</f>
        <v>0</v>
      </c>
      <c r="F127" s="68">
        <f>(+Amortizacion!L122+Amortizacion!U122)/$A$5</f>
        <v>0</v>
      </c>
      <c r="G127" s="68">
        <f>Amortizacion!AA122/$A$5</f>
        <v>0</v>
      </c>
      <c r="H127" s="69">
        <f t="shared" si="1"/>
        <v>0</v>
      </c>
      <c r="I127" s="70"/>
    </row>
    <row r="128" spans="1:9" x14ac:dyDescent="0.35">
      <c r="A128" s="67">
        <v>122</v>
      </c>
      <c r="B128" s="68">
        <f>-Amortizacion!Y123/$A$5</f>
        <v>0</v>
      </c>
      <c r="C128" s="68">
        <f>-Amortizacion!H123/$A$5</f>
        <v>0</v>
      </c>
      <c r="D128" s="68">
        <f>(-Amortizacion!I123-Amortizacion!R123)/$A$5</f>
        <v>0</v>
      </c>
      <c r="E128" s="68">
        <f>Amortizacion!O123/$A$5</f>
        <v>0</v>
      </c>
      <c r="F128" s="68">
        <f>(+Amortizacion!L123+Amortizacion!U123)/$A$5</f>
        <v>0</v>
      </c>
      <c r="G128" s="68">
        <f>Amortizacion!AA123/$A$5</f>
        <v>0</v>
      </c>
      <c r="H128" s="69">
        <f t="shared" si="1"/>
        <v>0</v>
      </c>
      <c r="I128" s="70"/>
    </row>
    <row r="129" spans="1:9" x14ac:dyDescent="0.35">
      <c r="A129" s="67">
        <v>123</v>
      </c>
      <c r="B129" s="68">
        <f>-Amortizacion!Y124/$A$5</f>
        <v>0</v>
      </c>
      <c r="C129" s="68">
        <f>-Amortizacion!H124/$A$5</f>
        <v>0</v>
      </c>
      <c r="D129" s="68">
        <f>(-Amortizacion!I124-Amortizacion!R124)/$A$5</f>
        <v>0</v>
      </c>
      <c r="E129" s="68">
        <f>Amortizacion!O124/$A$5</f>
        <v>0</v>
      </c>
      <c r="F129" s="68">
        <f>(+Amortizacion!L124+Amortizacion!U124)/$A$5</f>
        <v>0</v>
      </c>
      <c r="G129" s="68">
        <f>Amortizacion!AA124/$A$5</f>
        <v>0</v>
      </c>
      <c r="H129" s="69">
        <f t="shared" si="1"/>
        <v>0</v>
      </c>
      <c r="I129" s="70"/>
    </row>
    <row r="130" spans="1:9" x14ac:dyDescent="0.35">
      <c r="A130" s="67">
        <v>124</v>
      </c>
      <c r="B130" s="68">
        <f>-Amortizacion!Y125/$A$5</f>
        <v>0</v>
      </c>
      <c r="C130" s="68">
        <f>-Amortizacion!H125/$A$5</f>
        <v>0</v>
      </c>
      <c r="D130" s="68">
        <f>(-Amortizacion!I125-Amortizacion!R125)/$A$5</f>
        <v>0</v>
      </c>
      <c r="E130" s="68">
        <f>Amortizacion!O125/$A$5</f>
        <v>0</v>
      </c>
      <c r="F130" s="68">
        <f>(+Amortizacion!L125+Amortizacion!U125)/$A$5</f>
        <v>0</v>
      </c>
      <c r="G130" s="68">
        <f>Amortizacion!AA125/$A$5</f>
        <v>0</v>
      </c>
      <c r="H130" s="69">
        <f t="shared" si="1"/>
        <v>0</v>
      </c>
      <c r="I130" s="70"/>
    </row>
    <row r="131" spans="1:9" x14ac:dyDescent="0.35">
      <c r="A131" s="67">
        <v>125</v>
      </c>
      <c r="B131" s="68">
        <f>-Amortizacion!Y126/$A$5</f>
        <v>0</v>
      </c>
      <c r="C131" s="68">
        <f>-Amortizacion!H126/$A$5</f>
        <v>0</v>
      </c>
      <c r="D131" s="68">
        <f>(-Amortizacion!I126-Amortizacion!R126)/$A$5</f>
        <v>0</v>
      </c>
      <c r="E131" s="68">
        <f>Amortizacion!O126/$A$5</f>
        <v>0</v>
      </c>
      <c r="F131" s="68">
        <f>(+Amortizacion!L126+Amortizacion!U126)/$A$5</f>
        <v>0</v>
      </c>
      <c r="G131" s="68">
        <f>Amortizacion!AA126/$A$5</f>
        <v>0</v>
      </c>
      <c r="H131" s="69">
        <f t="shared" si="1"/>
        <v>0</v>
      </c>
      <c r="I131" s="70"/>
    </row>
    <row r="132" spans="1:9" x14ac:dyDescent="0.35">
      <c r="A132" s="67">
        <v>126</v>
      </c>
      <c r="B132" s="68">
        <f>-Amortizacion!Y127/$A$5</f>
        <v>0</v>
      </c>
      <c r="C132" s="68">
        <f>-Amortizacion!H127/$A$5</f>
        <v>0</v>
      </c>
      <c r="D132" s="68">
        <f>(-Amortizacion!I127-Amortizacion!R127)/$A$5</f>
        <v>0</v>
      </c>
      <c r="E132" s="68">
        <f>Amortizacion!O127/$A$5</f>
        <v>0</v>
      </c>
      <c r="F132" s="68">
        <f>(+Amortizacion!L127+Amortizacion!U127)/$A$5</f>
        <v>0</v>
      </c>
      <c r="G132" s="68">
        <f>Amortizacion!AA127/$A$5</f>
        <v>0</v>
      </c>
      <c r="H132" s="69">
        <f t="shared" si="1"/>
        <v>0</v>
      </c>
      <c r="I132" s="70"/>
    </row>
    <row r="133" spans="1:9" x14ac:dyDescent="0.35">
      <c r="A133" s="67">
        <v>127</v>
      </c>
      <c r="B133" s="68">
        <f>-Amortizacion!Y128/$A$5</f>
        <v>0</v>
      </c>
      <c r="C133" s="68">
        <f>-Amortizacion!H128/$A$5</f>
        <v>0</v>
      </c>
      <c r="D133" s="68">
        <f>(-Amortizacion!I128-Amortizacion!R128)/$A$5</f>
        <v>0</v>
      </c>
      <c r="E133" s="68">
        <f>Amortizacion!O128/$A$5</f>
        <v>0</v>
      </c>
      <c r="F133" s="68">
        <f>(+Amortizacion!L128+Amortizacion!U128)/$A$5</f>
        <v>0</v>
      </c>
      <c r="G133" s="68">
        <f>Amortizacion!AA128/$A$5</f>
        <v>0</v>
      </c>
      <c r="H133" s="69">
        <f t="shared" si="1"/>
        <v>0</v>
      </c>
      <c r="I133" s="70"/>
    </row>
    <row r="134" spans="1:9" x14ac:dyDescent="0.35">
      <c r="A134" s="67">
        <v>128</v>
      </c>
      <c r="B134" s="68">
        <f>-Amortizacion!Y129/$A$5</f>
        <v>0</v>
      </c>
      <c r="C134" s="68">
        <f>-Amortizacion!H129/$A$5</f>
        <v>0</v>
      </c>
      <c r="D134" s="68">
        <f>(-Amortizacion!I129-Amortizacion!R129)/$A$5</f>
        <v>0</v>
      </c>
      <c r="E134" s="68">
        <f>Amortizacion!O129/$A$5</f>
        <v>0</v>
      </c>
      <c r="F134" s="68">
        <f>(+Amortizacion!L129+Amortizacion!U129)/$A$5</f>
        <v>0</v>
      </c>
      <c r="G134" s="68">
        <f>Amortizacion!AA129/$A$5</f>
        <v>0</v>
      </c>
      <c r="H134" s="69">
        <f t="shared" si="1"/>
        <v>0</v>
      </c>
      <c r="I134" s="70"/>
    </row>
    <row r="135" spans="1:9" x14ac:dyDescent="0.35">
      <c r="A135" s="67">
        <v>129</v>
      </c>
      <c r="B135" s="68">
        <f>-Amortizacion!Y130/$A$5</f>
        <v>0</v>
      </c>
      <c r="C135" s="68">
        <f>-Amortizacion!H130/$A$5</f>
        <v>0</v>
      </c>
      <c r="D135" s="68">
        <f>(-Amortizacion!I130-Amortizacion!R130)/$A$5</f>
        <v>0</v>
      </c>
      <c r="E135" s="68">
        <f>Amortizacion!O130/$A$5</f>
        <v>0</v>
      </c>
      <c r="F135" s="68">
        <f>(+Amortizacion!L130+Amortizacion!U130)/$A$5</f>
        <v>0</v>
      </c>
      <c r="G135" s="68">
        <f>Amortizacion!AA130/$A$5</f>
        <v>0</v>
      </c>
      <c r="H135" s="69">
        <f t="shared" si="1"/>
        <v>0</v>
      </c>
      <c r="I135" s="70"/>
    </row>
    <row r="136" spans="1:9" x14ac:dyDescent="0.35">
      <c r="A136" s="67">
        <v>130</v>
      </c>
      <c r="B136" s="68">
        <f>-Amortizacion!Y131/$A$5</f>
        <v>0</v>
      </c>
      <c r="C136" s="68">
        <f>-Amortizacion!H131/$A$5</f>
        <v>0</v>
      </c>
      <c r="D136" s="68">
        <f>(-Amortizacion!I131-Amortizacion!R131)/$A$5</f>
        <v>0</v>
      </c>
      <c r="E136" s="68">
        <f>Amortizacion!O131/$A$5</f>
        <v>0</v>
      </c>
      <c r="F136" s="68">
        <f>(+Amortizacion!L131+Amortizacion!U131)/$A$5</f>
        <v>0</v>
      </c>
      <c r="G136" s="68">
        <f>Amortizacion!AA131/$A$5</f>
        <v>0</v>
      </c>
      <c r="H136" s="69">
        <f t="shared" ref="H136:H198" si="2">+F136+G136</f>
        <v>0</v>
      </c>
      <c r="I136" s="70"/>
    </row>
    <row r="137" spans="1:9" x14ac:dyDescent="0.35">
      <c r="A137" s="67">
        <v>131</v>
      </c>
      <c r="B137" s="68">
        <f>-Amortizacion!Y132/$A$5</f>
        <v>0</v>
      </c>
      <c r="C137" s="68">
        <f>-Amortizacion!H132/$A$5</f>
        <v>0</v>
      </c>
      <c r="D137" s="68">
        <f>(-Amortizacion!I132-Amortizacion!R132)/$A$5</f>
        <v>0</v>
      </c>
      <c r="E137" s="68">
        <f>Amortizacion!O132/$A$5</f>
        <v>0</v>
      </c>
      <c r="F137" s="68">
        <f>(+Amortizacion!L132+Amortizacion!U132)/$A$5</f>
        <v>0</v>
      </c>
      <c r="G137" s="68">
        <f>Amortizacion!AA132/$A$5</f>
        <v>0</v>
      </c>
      <c r="H137" s="69">
        <f t="shared" si="2"/>
        <v>0</v>
      </c>
      <c r="I137" s="70"/>
    </row>
    <row r="138" spans="1:9" x14ac:dyDescent="0.35">
      <c r="A138" s="67">
        <v>132</v>
      </c>
      <c r="B138" s="68">
        <f>-Amortizacion!Y133/$A$5</f>
        <v>0</v>
      </c>
      <c r="C138" s="68">
        <f>-Amortizacion!H133/$A$5</f>
        <v>0</v>
      </c>
      <c r="D138" s="68">
        <f>(-Amortizacion!I133-Amortizacion!R133)/$A$5</f>
        <v>0</v>
      </c>
      <c r="E138" s="68">
        <f>Amortizacion!O133/$A$5</f>
        <v>0</v>
      </c>
      <c r="F138" s="68">
        <f>(+Amortizacion!L133+Amortizacion!U133)/$A$5</f>
        <v>0</v>
      </c>
      <c r="G138" s="68">
        <f>Amortizacion!AA133/$A$5</f>
        <v>0</v>
      </c>
      <c r="H138" s="69">
        <f t="shared" si="2"/>
        <v>0</v>
      </c>
      <c r="I138" s="70"/>
    </row>
    <row r="139" spans="1:9" x14ac:dyDescent="0.35">
      <c r="A139" s="67">
        <v>133</v>
      </c>
      <c r="B139" s="68">
        <f>-Amortizacion!Y134/$A$5</f>
        <v>0</v>
      </c>
      <c r="C139" s="68">
        <f>-Amortizacion!H134/$A$5</f>
        <v>0</v>
      </c>
      <c r="D139" s="68">
        <f>(-Amortizacion!I134-Amortizacion!R134)/$A$5</f>
        <v>0</v>
      </c>
      <c r="E139" s="68">
        <f>Amortizacion!O134/$A$5</f>
        <v>0</v>
      </c>
      <c r="F139" s="68">
        <f>(+Amortizacion!L134+Amortizacion!U134)/$A$5</f>
        <v>0</v>
      </c>
      <c r="G139" s="68">
        <f>Amortizacion!AA134/$A$5</f>
        <v>0</v>
      </c>
      <c r="H139" s="69">
        <f t="shared" si="2"/>
        <v>0</v>
      </c>
      <c r="I139" s="70"/>
    </row>
    <row r="140" spans="1:9" x14ac:dyDescent="0.35">
      <c r="A140" s="67">
        <v>134</v>
      </c>
      <c r="B140" s="68">
        <f>-Amortizacion!Y135/$A$5</f>
        <v>0</v>
      </c>
      <c r="C140" s="68">
        <f>-Amortizacion!H135/$A$5</f>
        <v>0</v>
      </c>
      <c r="D140" s="68">
        <f>(-Amortizacion!I135-Amortizacion!R135)/$A$5</f>
        <v>0</v>
      </c>
      <c r="E140" s="68">
        <f>Amortizacion!O135/$A$5</f>
        <v>0</v>
      </c>
      <c r="F140" s="68">
        <f>(+Amortizacion!L135+Amortizacion!U135)/$A$5</f>
        <v>0</v>
      </c>
      <c r="G140" s="68">
        <f>Amortizacion!AA135/$A$5</f>
        <v>0</v>
      </c>
      <c r="H140" s="69">
        <f t="shared" si="2"/>
        <v>0</v>
      </c>
      <c r="I140" s="70"/>
    </row>
    <row r="141" spans="1:9" x14ac:dyDescent="0.35">
      <c r="A141" s="67">
        <v>135</v>
      </c>
      <c r="B141" s="68">
        <f>-Amortizacion!Y136/$A$5</f>
        <v>0</v>
      </c>
      <c r="C141" s="68">
        <f>-Amortizacion!H136/$A$5</f>
        <v>0</v>
      </c>
      <c r="D141" s="68">
        <f>(-Amortizacion!I136-Amortizacion!R136)/$A$5</f>
        <v>0</v>
      </c>
      <c r="E141" s="68">
        <f>Amortizacion!O136/$A$5</f>
        <v>0</v>
      </c>
      <c r="F141" s="68">
        <f>(+Amortizacion!L136+Amortizacion!U136)/$A$5</f>
        <v>0</v>
      </c>
      <c r="G141" s="68">
        <f>Amortizacion!AA136/$A$5</f>
        <v>0</v>
      </c>
      <c r="H141" s="69">
        <f t="shared" si="2"/>
        <v>0</v>
      </c>
      <c r="I141" s="70"/>
    </row>
    <row r="142" spans="1:9" x14ac:dyDescent="0.35">
      <c r="A142" s="67">
        <v>136</v>
      </c>
      <c r="B142" s="68">
        <f>-Amortizacion!Y137/$A$5</f>
        <v>0</v>
      </c>
      <c r="C142" s="68">
        <f>-Amortizacion!H137/$A$5</f>
        <v>0</v>
      </c>
      <c r="D142" s="68">
        <f>(-Amortizacion!I137-Amortizacion!R137)/$A$5</f>
        <v>0</v>
      </c>
      <c r="E142" s="68">
        <f>Amortizacion!O137/$A$5</f>
        <v>0</v>
      </c>
      <c r="F142" s="68">
        <f>(+Amortizacion!L137+Amortizacion!U137)/$A$5</f>
        <v>0</v>
      </c>
      <c r="G142" s="68">
        <f>Amortizacion!AA137/$A$5</f>
        <v>0</v>
      </c>
      <c r="H142" s="69">
        <f t="shared" si="2"/>
        <v>0</v>
      </c>
      <c r="I142" s="70"/>
    </row>
    <row r="143" spans="1:9" x14ac:dyDescent="0.35">
      <c r="A143" s="67">
        <v>137</v>
      </c>
      <c r="B143" s="68">
        <f>-Amortizacion!Y138/$A$5</f>
        <v>0</v>
      </c>
      <c r="C143" s="68">
        <f>-Amortizacion!H138/$A$5</f>
        <v>0</v>
      </c>
      <c r="D143" s="68">
        <f>(-Amortizacion!I138-Amortizacion!R138)/$A$5</f>
        <v>0</v>
      </c>
      <c r="E143" s="68">
        <f>Amortizacion!O138/$A$5</f>
        <v>0</v>
      </c>
      <c r="F143" s="68">
        <f>(+Amortizacion!L138+Amortizacion!U138)/$A$5</f>
        <v>0</v>
      </c>
      <c r="G143" s="68">
        <f>Amortizacion!AA138/$A$5</f>
        <v>0</v>
      </c>
      <c r="H143" s="69">
        <f t="shared" si="2"/>
        <v>0</v>
      </c>
      <c r="I143" s="70"/>
    </row>
    <row r="144" spans="1:9" x14ac:dyDescent="0.35">
      <c r="A144" s="67">
        <v>138</v>
      </c>
      <c r="B144" s="68">
        <f>-Amortizacion!Y139/$A$5</f>
        <v>0</v>
      </c>
      <c r="C144" s="68">
        <f>-Amortizacion!H139/$A$5</f>
        <v>0</v>
      </c>
      <c r="D144" s="68">
        <f>(-Amortizacion!I139-Amortizacion!R139)/$A$5</f>
        <v>0</v>
      </c>
      <c r="E144" s="68">
        <f>Amortizacion!O139/$A$5</f>
        <v>0</v>
      </c>
      <c r="F144" s="68">
        <f>(+Amortizacion!L139+Amortizacion!U139)/$A$5</f>
        <v>0</v>
      </c>
      <c r="G144" s="68">
        <f>Amortizacion!AA139/$A$5</f>
        <v>0</v>
      </c>
      <c r="H144" s="69">
        <f t="shared" si="2"/>
        <v>0</v>
      </c>
      <c r="I144" s="70"/>
    </row>
    <row r="145" spans="1:9" x14ac:dyDescent="0.35">
      <c r="A145" s="67">
        <v>139</v>
      </c>
      <c r="B145" s="68">
        <f>-Amortizacion!Y140/$A$5</f>
        <v>0</v>
      </c>
      <c r="C145" s="68">
        <f>-Amortizacion!H140/$A$5</f>
        <v>0</v>
      </c>
      <c r="D145" s="68">
        <f>(-Amortizacion!I140-Amortizacion!R140)/$A$5</f>
        <v>0</v>
      </c>
      <c r="E145" s="68">
        <f>Amortizacion!O140/$A$5</f>
        <v>0</v>
      </c>
      <c r="F145" s="68">
        <f>(+Amortizacion!L140+Amortizacion!U140)/$A$5</f>
        <v>0</v>
      </c>
      <c r="G145" s="68">
        <f>Amortizacion!AA140/$A$5</f>
        <v>0</v>
      </c>
      <c r="H145" s="69">
        <f t="shared" si="2"/>
        <v>0</v>
      </c>
      <c r="I145" s="70"/>
    </row>
    <row r="146" spans="1:9" x14ac:dyDescent="0.35">
      <c r="A146" s="67">
        <v>140</v>
      </c>
      <c r="B146" s="68">
        <f>-Amortizacion!Y141/$A$5</f>
        <v>0</v>
      </c>
      <c r="C146" s="68">
        <f>-Amortizacion!H141/$A$5</f>
        <v>0</v>
      </c>
      <c r="D146" s="68">
        <f>(-Amortizacion!I141-Amortizacion!R141)/$A$5</f>
        <v>0</v>
      </c>
      <c r="E146" s="68">
        <f>Amortizacion!O141/$A$5</f>
        <v>0</v>
      </c>
      <c r="F146" s="68">
        <f>(+Amortizacion!L141+Amortizacion!U141)/$A$5</f>
        <v>0</v>
      </c>
      <c r="G146" s="68">
        <f>Amortizacion!AA141/$A$5</f>
        <v>0</v>
      </c>
      <c r="H146" s="69">
        <f t="shared" si="2"/>
        <v>0</v>
      </c>
      <c r="I146" s="70"/>
    </row>
    <row r="147" spans="1:9" x14ac:dyDescent="0.35">
      <c r="A147" s="67">
        <v>141</v>
      </c>
      <c r="B147" s="68">
        <f>-Amortizacion!Y142/$A$5</f>
        <v>0</v>
      </c>
      <c r="C147" s="68">
        <f>-Amortizacion!H142/$A$5</f>
        <v>0</v>
      </c>
      <c r="D147" s="68">
        <f>(-Amortizacion!I142-Amortizacion!R142)/$A$5</f>
        <v>0</v>
      </c>
      <c r="E147" s="68">
        <f>Amortizacion!O142/$A$5</f>
        <v>0</v>
      </c>
      <c r="F147" s="68">
        <f>(+Amortizacion!L142+Amortizacion!U142)/$A$5</f>
        <v>0</v>
      </c>
      <c r="G147" s="68">
        <f>Amortizacion!AA142/$A$5</f>
        <v>0</v>
      </c>
      <c r="H147" s="69">
        <f t="shared" si="2"/>
        <v>0</v>
      </c>
      <c r="I147" s="70"/>
    </row>
    <row r="148" spans="1:9" x14ac:dyDescent="0.35">
      <c r="A148" s="67">
        <v>142</v>
      </c>
      <c r="B148" s="68">
        <f>-Amortizacion!Y143/$A$5</f>
        <v>0</v>
      </c>
      <c r="C148" s="68">
        <f>-Amortizacion!H143/$A$5</f>
        <v>0</v>
      </c>
      <c r="D148" s="68">
        <f>(-Amortizacion!I143-Amortizacion!R143)/$A$5</f>
        <v>0</v>
      </c>
      <c r="E148" s="68">
        <f>Amortizacion!O143/$A$5</f>
        <v>0</v>
      </c>
      <c r="F148" s="68">
        <f>(+Amortizacion!L143+Amortizacion!U143)/$A$5</f>
        <v>0</v>
      </c>
      <c r="G148" s="68">
        <f>Amortizacion!AA143/$A$5</f>
        <v>0</v>
      </c>
      <c r="H148" s="69">
        <f t="shared" si="2"/>
        <v>0</v>
      </c>
      <c r="I148" s="70"/>
    </row>
    <row r="149" spans="1:9" x14ac:dyDescent="0.35">
      <c r="A149" s="67">
        <v>143</v>
      </c>
      <c r="B149" s="68">
        <f>-Amortizacion!Y144/$A$5</f>
        <v>0</v>
      </c>
      <c r="C149" s="68">
        <f>-Amortizacion!H144/$A$5</f>
        <v>0</v>
      </c>
      <c r="D149" s="68">
        <f>(-Amortizacion!I144-Amortizacion!R144)/$A$5</f>
        <v>0</v>
      </c>
      <c r="E149" s="68">
        <f>Amortizacion!O144/$A$5</f>
        <v>0</v>
      </c>
      <c r="F149" s="68">
        <f>(+Amortizacion!L144+Amortizacion!U144)/$A$5</f>
        <v>0</v>
      </c>
      <c r="G149" s="68">
        <f>Amortizacion!AA144/$A$5</f>
        <v>0</v>
      </c>
      <c r="H149" s="69">
        <f t="shared" si="2"/>
        <v>0</v>
      </c>
      <c r="I149" s="70"/>
    </row>
    <row r="150" spans="1:9" x14ac:dyDescent="0.35">
      <c r="A150" s="67">
        <v>144</v>
      </c>
      <c r="B150" s="68">
        <f>-Amortizacion!Y145/$A$5</f>
        <v>0</v>
      </c>
      <c r="C150" s="68">
        <f>-Amortizacion!H145/$A$5</f>
        <v>0</v>
      </c>
      <c r="D150" s="68">
        <f>(-Amortizacion!I145-Amortizacion!R145)/$A$5</f>
        <v>0</v>
      </c>
      <c r="E150" s="68">
        <f>Amortizacion!O145/$A$5</f>
        <v>0</v>
      </c>
      <c r="F150" s="68">
        <f>(+Amortizacion!L145+Amortizacion!U145)/$A$5</f>
        <v>0</v>
      </c>
      <c r="G150" s="68">
        <f>Amortizacion!AA145/$A$5</f>
        <v>0</v>
      </c>
      <c r="H150" s="69">
        <f t="shared" si="2"/>
        <v>0</v>
      </c>
      <c r="I150" s="70"/>
    </row>
    <row r="151" spans="1:9" x14ac:dyDescent="0.35">
      <c r="A151" s="67">
        <v>145</v>
      </c>
      <c r="B151" s="68">
        <f>-Amortizacion!Y146/$A$5</f>
        <v>0</v>
      </c>
      <c r="C151" s="68">
        <f>-Amortizacion!H146/$A$5</f>
        <v>0</v>
      </c>
      <c r="D151" s="68">
        <f>(-Amortizacion!I146-Amortizacion!R146)/$A$5</f>
        <v>0</v>
      </c>
      <c r="E151" s="68">
        <f>Amortizacion!O146/$A$5</f>
        <v>0</v>
      </c>
      <c r="F151" s="68">
        <f>(+Amortizacion!L146+Amortizacion!U146)/$A$5</f>
        <v>0</v>
      </c>
      <c r="G151" s="68">
        <f>Amortizacion!AA146/$A$5</f>
        <v>0</v>
      </c>
      <c r="H151" s="69">
        <f t="shared" si="2"/>
        <v>0</v>
      </c>
      <c r="I151" s="70"/>
    </row>
    <row r="152" spans="1:9" x14ac:dyDescent="0.35">
      <c r="A152" s="67">
        <v>146</v>
      </c>
      <c r="B152" s="68">
        <f>-Amortizacion!Y147/$A$5</f>
        <v>0</v>
      </c>
      <c r="C152" s="68">
        <f>-Amortizacion!H147/$A$5</f>
        <v>0</v>
      </c>
      <c r="D152" s="68">
        <f>(-Amortizacion!I147-Amortizacion!R147)/$A$5</f>
        <v>0</v>
      </c>
      <c r="E152" s="68">
        <f>Amortizacion!O147/$A$5</f>
        <v>0</v>
      </c>
      <c r="F152" s="68">
        <f>(+Amortizacion!L147+Amortizacion!U147)/$A$5</f>
        <v>0</v>
      </c>
      <c r="G152" s="68">
        <f>Amortizacion!AA147/$A$5</f>
        <v>0</v>
      </c>
      <c r="H152" s="69">
        <f t="shared" si="2"/>
        <v>0</v>
      </c>
      <c r="I152" s="70"/>
    </row>
    <row r="153" spans="1:9" x14ac:dyDescent="0.35">
      <c r="A153" s="67">
        <v>147</v>
      </c>
      <c r="B153" s="68">
        <f>-Amortizacion!Y148/$A$5</f>
        <v>0</v>
      </c>
      <c r="C153" s="68">
        <f>-Amortizacion!H148/$A$5</f>
        <v>0</v>
      </c>
      <c r="D153" s="68">
        <f>(-Amortizacion!I148-Amortizacion!R148)/$A$5</f>
        <v>0</v>
      </c>
      <c r="E153" s="68">
        <f>Amortizacion!O148/$A$5</f>
        <v>0</v>
      </c>
      <c r="F153" s="68">
        <f>(+Amortizacion!L148+Amortizacion!U148)/$A$5</f>
        <v>0</v>
      </c>
      <c r="G153" s="68">
        <f>Amortizacion!AA148/$A$5</f>
        <v>0</v>
      </c>
      <c r="H153" s="69">
        <f t="shared" si="2"/>
        <v>0</v>
      </c>
      <c r="I153" s="70"/>
    </row>
    <row r="154" spans="1:9" x14ac:dyDescent="0.35">
      <c r="A154" s="67">
        <v>148</v>
      </c>
      <c r="B154" s="68">
        <f>-Amortizacion!Y149/$A$5</f>
        <v>0</v>
      </c>
      <c r="C154" s="68">
        <f>-Amortizacion!H149/$A$5</f>
        <v>0</v>
      </c>
      <c r="D154" s="68">
        <f>(-Amortizacion!I149-Amortizacion!R149)/$A$5</f>
        <v>0</v>
      </c>
      <c r="E154" s="68">
        <f>Amortizacion!O149/$A$5</f>
        <v>0</v>
      </c>
      <c r="F154" s="68">
        <f>(+Amortizacion!L149+Amortizacion!U149)/$A$5</f>
        <v>0</v>
      </c>
      <c r="G154" s="68">
        <f>Amortizacion!AA149/$A$5</f>
        <v>0</v>
      </c>
      <c r="H154" s="69">
        <f t="shared" si="2"/>
        <v>0</v>
      </c>
      <c r="I154" s="70"/>
    </row>
    <row r="155" spans="1:9" x14ac:dyDescent="0.35">
      <c r="A155" s="67">
        <v>149</v>
      </c>
      <c r="B155" s="68">
        <f>-Amortizacion!Y150/$A$5</f>
        <v>0</v>
      </c>
      <c r="C155" s="68">
        <f>-Amortizacion!H150/$A$5</f>
        <v>0</v>
      </c>
      <c r="D155" s="68">
        <f>(-Amortizacion!I150-Amortizacion!R150)/$A$5</f>
        <v>0</v>
      </c>
      <c r="E155" s="68">
        <f>Amortizacion!O150/$A$5</f>
        <v>0</v>
      </c>
      <c r="F155" s="68">
        <f>(+Amortizacion!L150+Amortizacion!U150)/$A$5</f>
        <v>0</v>
      </c>
      <c r="G155" s="68">
        <f>Amortizacion!AA150/$A$5</f>
        <v>0</v>
      </c>
      <c r="H155" s="69">
        <f t="shared" si="2"/>
        <v>0</v>
      </c>
      <c r="I155" s="70"/>
    </row>
    <row r="156" spans="1:9" x14ac:dyDescent="0.35">
      <c r="A156" s="67">
        <v>150</v>
      </c>
      <c r="B156" s="68">
        <f>-Amortizacion!Y151/$A$5</f>
        <v>0</v>
      </c>
      <c r="C156" s="68">
        <f>-Amortizacion!H151/$A$5</f>
        <v>0</v>
      </c>
      <c r="D156" s="68">
        <f>(-Amortizacion!I151-Amortizacion!R151)/$A$5</f>
        <v>0</v>
      </c>
      <c r="E156" s="68">
        <f>Amortizacion!O151/$A$5</f>
        <v>0</v>
      </c>
      <c r="F156" s="68">
        <f>(+Amortizacion!L151+Amortizacion!U151)/$A$5</f>
        <v>0</v>
      </c>
      <c r="G156" s="68">
        <f>Amortizacion!AA151/$A$5</f>
        <v>0</v>
      </c>
      <c r="H156" s="69">
        <f t="shared" si="2"/>
        <v>0</v>
      </c>
      <c r="I156" s="70"/>
    </row>
    <row r="157" spans="1:9" x14ac:dyDescent="0.35">
      <c r="A157" s="67">
        <v>151</v>
      </c>
      <c r="B157" s="68">
        <f>-Amortizacion!Y152/$A$5</f>
        <v>0</v>
      </c>
      <c r="C157" s="68">
        <f>-Amortizacion!H152/$A$5</f>
        <v>0</v>
      </c>
      <c r="D157" s="68">
        <f>(-Amortizacion!I152-Amortizacion!R152)/$A$5</f>
        <v>0</v>
      </c>
      <c r="E157" s="68">
        <f>Amortizacion!O152/$A$5</f>
        <v>0</v>
      </c>
      <c r="F157" s="68">
        <f>(+Amortizacion!L152+Amortizacion!U152)/$A$5</f>
        <v>0</v>
      </c>
      <c r="G157" s="68">
        <f>Amortizacion!AA152/$A$5</f>
        <v>0</v>
      </c>
      <c r="H157" s="69">
        <f t="shared" si="2"/>
        <v>0</v>
      </c>
      <c r="I157" s="70"/>
    </row>
    <row r="158" spans="1:9" x14ac:dyDescent="0.35">
      <c r="A158" s="67">
        <v>152</v>
      </c>
      <c r="B158" s="68">
        <f>-Amortizacion!Y153/$A$5</f>
        <v>0</v>
      </c>
      <c r="C158" s="68">
        <f>-Amortizacion!H153/$A$5</f>
        <v>0</v>
      </c>
      <c r="D158" s="68">
        <f>(-Amortizacion!I153-Amortizacion!R153)/$A$5</f>
        <v>0</v>
      </c>
      <c r="E158" s="68">
        <f>Amortizacion!O153/$A$5</f>
        <v>0</v>
      </c>
      <c r="F158" s="68">
        <f>(+Amortizacion!L153+Amortizacion!U153)/$A$5</f>
        <v>0</v>
      </c>
      <c r="G158" s="68">
        <f>Amortizacion!AA153/$A$5</f>
        <v>0</v>
      </c>
      <c r="H158" s="69">
        <f t="shared" si="2"/>
        <v>0</v>
      </c>
      <c r="I158" s="70"/>
    </row>
    <row r="159" spans="1:9" x14ac:dyDescent="0.35">
      <c r="A159" s="67">
        <v>153</v>
      </c>
      <c r="B159" s="68">
        <f>-Amortizacion!Y154/$A$5</f>
        <v>0</v>
      </c>
      <c r="C159" s="68">
        <f>-Amortizacion!H154/$A$5</f>
        <v>0</v>
      </c>
      <c r="D159" s="68">
        <f>(-Amortizacion!I154-Amortizacion!R154)/$A$5</f>
        <v>0</v>
      </c>
      <c r="E159" s="68">
        <f>Amortizacion!O154/$A$5</f>
        <v>0</v>
      </c>
      <c r="F159" s="68">
        <f>(+Amortizacion!L154+Amortizacion!U154)/$A$5</f>
        <v>0</v>
      </c>
      <c r="G159" s="68">
        <f>Amortizacion!AA154/$A$5</f>
        <v>0</v>
      </c>
      <c r="H159" s="69">
        <f t="shared" si="2"/>
        <v>0</v>
      </c>
      <c r="I159" s="70"/>
    </row>
    <row r="160" spans="1:9" x14ac:dyDescent="0.35">
      <c r="A160" s="67">
        <v>154</v>
      </c>
      <c r="B160" s="68">
        <f>-Amortizacion!Y155/$A$5</f>
        <v>0</v>
      </c>
      <c r="C160" s="68">
        <f>-Amortizacion!H155/$A$5</f>
        <v>0</v>
      </c>
      <c r="D160" s="68">
        <f>(-Amortizacion!I155-Amortizacion!R155)/$A$5</f>
        <v>0</v>
      </c>
      <c r="E160" s="68">
        <f>Amortizacion!O155/$A$5</f>
        <v>0</v>
      </c>
      <c r="F160" s="68">
        <f>(+Amortizacion!L155+Amortizacion!U155)/$A$5</f>
        <v>0</v>
      </c>
      <c r="G160" s="68">
        <f>Amortizacion!AA155/$A$5</f>
        <v>0</v>
      </c>
      <c r="H160" s="69">
        <f t="shared" si="2"/>
        <v>0</v>
      </c>
      <c r="I160" s="70"/>
    </row>
    <row r="161" spans="1:9" x14ac:dyDescent="0.35">
      <c r="A161" s="67">
        <v>155</v>
      </c>
      <c r="B161" s="68">
        <f>-Amortizacion!Y156/$A$5</f>
        <v>0</v>
      </c>
      <c r="C161" s="68">
        <f>-Amortizacion!H156/$A$5</f>
        <v>0</v>
      </c>
      <c r="D161" s="68">
        <f>(-Amortizacion!I156-Amortizacion!R156)/$A$5</f>
        <v>0</v>
      </c>
      <c r="E161" s="68">
        <f>Amortizacion!O156/$A$5</f>
        <v>0</v>
      </c>
      <c r="F161" s="68">
        <f>(+Amortizacion!L156+Amortizacion!U156)/$A$5</f>
        <v>0</v>
      </c>
      <c r="G161" s="68">
        <f>Amortizacion!AA156/$A$5</f>
        <v>0</v>
      </c>
      <c r="H161" s="69">
        <f t="shared" si="2"/>
        <v>0</v>
      </c>
      <c r="I161" s="70"/>
    </row>
    <row r="162" spans="1:9" x14ac:dyDescent="0.35">
      <c r="A162" s="67">
        <v>156</v>
      </c>
      <c r="B162" s="68">
        <f>-Amortizacion!Y157/$A$5</f>
        <v>0</v>
      </c>
      <c r="C162" s="68">
        <f>-Amortizacion!H157/$A$5</f>
        <v>0</v>
      </c>
      <c r="D162" s="68">
        <f>(-Amortizacion!I157-Amortizacion!R157)/$A$5</f>
        <v>0</v>
      </c>
      <c r="E162" s="68">
        <f>Amortizacion!O157/$A$5</f>
        <v>0</v>
      </c>
      <c r="F162" s="68">
        <f>(+Amortizacion!L157+Amortizacion!U157)/$A$5</f>
        <v>0</v>
      </c>
      <c r="G162" s="68">
        <f>Amortizacion!AA157/$A$5</f>
        <v>0</v>
      </c>
      <c r="H162" s="69">
        <f t="shared" si="2"/>
        <v>0</v>
      </c>
      <c r="I162" s="70"/>
    </row>
    <row r="163" spans="1:9" x14ac:dyDescent="0.35">
      <c r="A163" s="67">
        <v>157</v>
      </c>
      <c r="B163" s="68">
        <f>-Amortizacion!Y158/$A$5</f>
        <v>0</v>
      </c>
      <c r="C163" s="68">
        <f>-Amortizacion!H158/$A$5</f>
        <v>0</v>
      </c>
      <c r="D163" s="68">
        <f>(-Amortizacion!I158-Amortizacion!R158)/$A$5</f>
        <v>0</v>
      </c>
      <c r="E163" s="68">
        <f>Amortizacion!O158/$A$5</f>
        <v>0</v>
      </c>
      <c r="F163" s="68">
        <f>(+Amortizacion!L158+Amortizacion!U158)/$A$5</f>
        <v>0</v>
      </c>
      <c r="G163" s="68">
        <f>Amortizacion!AA158/$A$5</f>
        <v>0</v>
      </c>
      <c r="H163" s="69">
        <f t="shared" si="2"/>
        <v>0</v>
      </c>
      <c r="I163" s="70"/>
    </row>
    <row r="164" spans="1:9" x14ac:dyDescent="0.35">
      <c r="A164" s="67">
        <v>158</v>
      </c>
      <c r="B164" s="68">
        <f>-Amortizacion!Y159/$A$5</f>
        <v>0</v>
      </c>
      <c r="C164" s="68">
        <f>-Amortizacion!H159/$A$5</f>
        <v>0</v>
      </c>
      <c r="D164" s="68">
        <f>(-Amortizacion!I159-Amortizacion!R159)/$A$5</f>
        <v>0</v>
      </c>
      <c r="E164" s="68">
        <f>Amortizacion!O159/$A$5</f>
        <v>0</v>
      </c>
      <c r="F164" s="68">
        <f>(+Amortizacion!L159+Amortizacion!U159)/$A$5</f>
        <v>0</v>
      </c>
      <c r="G164" s="68">
        <f>Amortizacion!AA159/$A$5</f>
        <v>0</v>
      </c>
      <c r="H164" s="69">
        <f t="shared" si="2"/>
        <v>0</v>
      </c>
      <c r="I164" s="70"/>
    </row>
    <row r="165" spans="1:9" x14ac:dyDescent="0.35">
      <c r="A165" s="67">
        <v>159</v>
      </c>
      <c r="B165" s="68">
        <f>-Amortizacion!Y160/$A$5</f>
        <v>0</v>
      </c>
      <c r="C165" s="68">
        <f>-Amortizacion!H160/$A$5</f>
        <v>0</v>
      </c>
      <c r="D165" s="68">
        <f>(-Amortizacion!I160-Amortizacion!R160)/$A$5</f>
        <v>0</v>
      </c>
      <c r="E165" s="68">
        <f>Amortizacion!O160/$A$5</f>
        <v>0</v>
      </c>
      <c r="F165" s="68">
        <f>(+Amortizacion!L160+Amortizacion!U160)/$A$5</f>
        <v>0</v>
      </c>
      <c r="G165" s="68">
        <f>Amortizacion!AA160/$A$5</f>
        <v>0</v>
      </c>
      <c r="H165" s="69">
        <f t="shared" si="2"/>
        <v>0</v>
      </c>
      <c r="I165" s="70"/>
    </row>
    <row r="166" spans="1:9" x14ac:dyDescent="0.35">
      <c r="A166" s="67">
        <v>160</v>
      </c>
      <c r="B166" s="68">
        <f>-Amortizacion!Y161/$A$5</f>
        <v>0</v>
      </c>
      <c r="C166" s="68">
        <f>-Amortizacion!H161/$A$5</f>
        <v>0</v>
      </c>
      <c r="D166" s="68">
        <f>(-Amortizacion!I161-Amortizacion!R161)/$A$5</f>
        <v>0</v>
      </c>
      <c r="E166" s="68">
        <f>Amortizacion!O161/$A$5</f>
        <v>0</v>
      </c>
      <c r="F166" s="68">
        <f>(+Amortizacion!L161+Amortizacion!U161)/$A$5</f>
        <v>0</v>
      </c>
      <c r="G166" s="68">
        <f>Amortizacion!AA161/$A$5</f>
        <v>0</v>
      </c>
      <c r="H166" s="69">
        <f t="shared" si="2"/>
        <v>0</v>
      </c>
      <c r="I166" s="70"/>
    </row>
    <row r="167" spans="1:9" x14ac:dyDescent="0.35">
      <c r="A167" s="67">
        <v>161</v>
      </c>
      <c r="B167" s="68">
        <f>-Amortizacion!Y162/$A$5</f>
        <v>0</v>
      </c>
      <c r="C167" s="68">
        <f>-Amortizacion!H162/$A$5</f>
        <v>0</v>
      </c>
      <c r="D167" s="68">
        <f>(-Amortizacion!I162-Amortizacion!R162)/$A$5</f>
        <v>0</v>
      </c>
      <c r="E167" s="68">
        <f>Amortizacion!O162/$A$5</f>
        <v>0</v>
      </c>
      <c r="F167" s="68">
        <f>(+Amortizacion!L162+Amortizacion!U162)/$A$5</f>
        <v>0</v>
      </c>
      <c r="G167" s="68">
        <f>Amortizacion!AA162/$A$5</f>
        <v>0</v>
      </c>
      <c r="H167" s="69">
        <f t="shared" si="2"/>
        <v>0</v>
      </c>
      <c r="I167" s="70"/>
    </row>
    <row r="168" spans="1:9" x14ac:dyDescent="0.35">
      <c r="A168" s="67">
        <v>162</v>
      </c>
      <c r="B168" s="68">
        <f>-Amortizacion!Y163/$A$5</f>
        <v>0</v>
      </c>
      <c r="C168" s="68">
        <f>-Amortizacion!H163/$A$5</f>
        <v>0</v>
      </c>
      <c r="D168" s="68">
        <f>(-Amortizacion!I163-Amortizacion!R163)/$A$5</f>
        <v>0</v>
      </c>
      <c r="E168" s="68">
        <f>Amortizacion!O163/$A$5</f>
        <v>0</v>
      </c>
      <c r="F168" s="68">
        <f>(+Amortizacion!L163+Amortizacion!U163)/$A$5</f>
        <v>0</v>
      </c>
      <c r="G168" s="68">
        <f>Amortizacion!AA163/$A$5</f>
        <v>0</v>
      </c>
      <c r="H168" s="69">
        <f t="shared" si="2"/>
        <v>0</v>
      </c>
      <c r="I168" s="70"/>
    </row>
    <row r="169" spans="1:9" x14ac:dyDescent="0.35">
      <c r="A169" s="67">
        <v>163</v>
      </c>
      <c r="B169" s="68">
        <f>-Amortizacion!Y164/$A$5</f>
        <v>0</v>
      </c>
      <c r="C169" s="68">
        <f>-Amortizacion!H164/$A$5</f>
        <v>0</v>
      </c>
      <c r="D169" s="68">
        <f>(-Amortizacion!I164-Amortizacion!R164)/$A$5</f>
        <v>0</v>
      </c>
      <c r="E169" s="68">
        <f>Amortizacion!O164/$A$5</f>
        <v>0</v>
      </c>
      <c r="F169" s="68">
        <f>(+Amortizacion!L164+Amortizacion!U164)/$A$5</f>
        <v>0</v>
      </c>
      <c r="G169" s="68">
        <f>Amortizacion!AA164/$A$5</f>
        <v>0</v>
      </c>
      <c r="H169" s="69">
        <f t="shared" si="2"/>
        <v>0</v>
      </c>
      <c r="I169" s="70"/>
    </row>
    <row r="170" spans="1:9" x14ac:dyDescent="0.35">
      <c r="A170" s="67">
        <v>164</v>
      </c>
      <c r="B170" s="68">
        <f>-Amortizacion!Y165/$A$5</f>
        <v>0</v>
      </c>
      <c r="C170" s="68">
        <f>-Amortizacion!H165/$A$5</f>
        <v>0</v>
      </c>
      <c r="D170" s="68">
        <f>(-Amortizacion!I165-Amortizacion!R165)/$A$5</f>
        <v>0</v>
      </c>
      <c r="E170" s="68">
        <f>Amortizacion!O165/$A$5</f>
        <v>0</v>
      </c>
      <c r="F170" s="68">
        <f>(+Amortizacion!L165+Amortizacion!U165)/$A$5</f>
        <v>0</v>
      </c>
      <c r="G170" s="68">
        <f>Amortizacion!AA165/$A$5</f>
        <v>0</v>
      </c>
      <c r="H170" s="69">
        <f t="shared" si="2"/>
        <v>0</v>
      </c>
      <c r="I170" s="70"/>
    </row>
    <row r="171" spans="1:9" x14ac:dyDescent="0.35">
      <c r="A171" s="67">
        <v>165</v>
      </c>
      <c r="B171" s="68">
        <f>-Amortizacion!Y166/$A$5</f>
        <v>0</v>
      </c>
      <c r="C171" s="68">
        <f>-Amortizacion!H166/$A$5</f>
        <v>0</v>
      </c>
      <c r="D171" s="68">
        <f>(-Amortizacion!I166-Amortizacion!R166)/$A$5</f>
        <v>0</v>
      </c>
      <c r="E171" s="68">
        <f>Amortizacion!O166/$A$5</f>
        <v>0</v>
      </c>
      <c r="F171" s="68">
        <f>(+Amortizacion!L166+Amortizacion!U166)/$A$5</f>
        <v>0</v>
      </c>
      <c r="G171" s="68">
        <f>Amortizacion!AA166/$A$5</f>
        <v>0</v>
      </c>
      <c r="H171" s="69">
        <f t="shared" si="2"/>
        <v>0</v>
      </c>
      <c r="I171" s="70"/>
    </row>
    <row r="172" spans="1:9" x14ac:dyDescent="0.35">
      <c r="A172" s="67">
        <v>166</v>
      </c>
      <c r="B172" s="68">
        <f>-Amortizacion!Y167/$A$5</f>
        <v>0</v>
      </c>
      <c r="C172" s="68">
        <f>-Amortizacion!H167/$A$5</f>
        <v>0</v>
      </c>
      <c r="D172" s="68">
        <f>(-Amortizacion!I167-Amortizacion!R167)/$A$5</f>
        <v>0</v>
      </c>
      <c r="E172" s="68">
        <f>Amortizacion!O167/$A$5</f>
        <v>0</v>
      </c>
      <c r="F172" s="68">
        <f>(+Amortizacion!L167+Amortizacion!U167)/$A$5</f>
        <v>0</v>
      </c>
      <c r="G172" s="68">
        <f>Amortizacion!AA167/$A$5</f>
        <v>0</v>
      </c>
      <c r="H172" s="69">
        <f t="shared" si="2"/>
        <v>0</v>
      </c>
      <c r="I172" s="70"/>
    </row>
    <row r="173" spans="1:9" x14ac:dyDescent="0.35">
      <c r="A173" s="67">
        <v>167</v>
      </c>
      <c r="B173" s="68">
        <f>-Amortizacion!Y168/$A$5</f>
        <v>0</v>
      </c>
      <c r="C173" s="68">
        <f>-Amortizacion!H168/$A$5</f>
        <v>0</v>
      </c>
      <c r="D173" s="68">
        <f>(-Amortizacion!I168-Amortizacion!R168)/$A$5</f>
        <v>0</v>
      </c>
      <c r="E173" s="68">
        <f>Amortizacion!O168/$A$5</f>
        <v>0</v>
      </c>
      <c r="F173" s="68">
        <f>(+Amortizacion!L168+Amortizacion!U168)/$A$5</f>
        <v>0</v>
      </c>
      <c r="G173" s="68">
        <f>Amortizacion!AA168/$A$5</f>
        <v>0</v>
      </c>
      <c r="H173" s="69">
        <f t="shared" si="2"/>
        <v>0</v>
      </c>
      <c r="I173" s="70"/>
    </row>
    <row r="174" spans="1:9" x14ac:dyDescent="0.35">
      <c r="A174" s="67">
        <v>168</v>
      </c>
      <c r="B174" s="68">
        <f>-Amortizacion!Y169/$A$5</f>
        <v>0</v>
      </c>
      <c r="C174" s="68">
        <f>-Amortizacion!H169/$A$5</f>
        <v>0</v>
      </c>
      <c r="D174" s="68">
        <f>(-Amortizacion!I169-Amortizacion!R169)/$A$5</f>
        <v>0</v>
      </c>
      <c r="E174" s="68">
        <f>Amortizacion!O169/$A$5</f>
        <v>0</v>
      </c>
      <c r="F174" s="68">
        <f>(+Amortizacion!L169+Amortizacion!U169)/$A$5</f>
        <v>0</v>
      </c>
      <c r="G174" s="68">
        <f>Amortizacion!AA169/$A$5</f>
        <v>0</v>
      </c>
      <c r="H174" s="69">
        <f t="shared" si="2"/>
        <v>0</v>
      </c>
      <c r="I174" s="70"/>
    </row>
    <row r="175" spans="1:9" x14ac:dyDescent="0.35">
      <c r="A175" s="67">
        <v>169</v>
      </c>
      <c r="B175" s="68">
        <f>-Amortizacion!Y170/$A$5</f>
        <v>0</v>
      </c>
      <c r="C175" s="68">
        <f>-Amortizacion!H170/$A$5</f>
        <v>0</v>
      </c>
      <c r="D175" s="68">
        <f>(-Amortizacion!I170-Amortizacion!R170)/$A$5</f>
        <v>0</v>
      </c>
      <c r="E175" s="68">
        <f>Amortizacion!O170/$A$5</f>
        <v>0</v>
      </c>
      <c r="F175" s="68">
        <f>(+Amortizacion!L170+Amortizacion!U170)/$A$5</f>
        <v>0</v>
      </c>
      <c r="G175" s="68">
        <f>Amortizacion!AA170/$A$5</f>
        <v>0</v>
      </c>
      <c r="H175" s="69">
        <f t="shared" si="2"/>
        <v>0</v>
      </c>
      <c r="I175" s="70"/>
    </row>
    <row r="176" spans="1:9" x14ac:dyDescent="0.35">
      <c r="A176" s="67">
        <v>170</v>
      </c>
      <c r="B176" s="68">
        <f>-Amortizacion!Y171/$A$5</f>
        <v>0</v>
      </c>
      <c r="C176" s="68">
        <f>-Amortizacion!H171/$A$5</f>
        <v>0</v>
      </c>
      <c r="D176" s="68">
        <f>(-Amortizacion!I171-Amortizacion!R171)/$A$5</f>
        <v>0</v>
      </c>
      <c r="E176" s="68">
        <f>Amortizacion!O171/$A$5</f>
        <v>0</v>
      </c>
      <c r="F176" s="68">
        <f>(+Amortizacion!L171+Amortizacion!U171)/$A$5</f>
        <v>0</v>
      </c>
      <c r="G176" s="68">
        <f>Amortizacion!AA171/$A$5</f>
        <v>0</v>
      </c>
      <c r="H176" s="69">
        <f t="shared" si="2"/>
        <v>0</v>
      </c>
      <c r="I176" s="70"/>
    </row>
    <row r="177" spans="1:9" x14ac:dyDescent="0.35">
      <c r="A177" s="67">
        <v>171</v>
      </c>
      <c r="B177" s="68">
        <f>-Amortizacion!Y172/$A$5</f>
        <v>0</v>
      </c>
      <c r="C177" s="68">
        <f>-Amortizacion!H172/$A$5</f>
        <v>0</v>
      </c>
      <c r="D177" s="68">
        <f>(-Amortizacion!I172-Amortizacion!R172)/$A$5</f>
        <v>0</v>
      </c>
      <c r="E177" s="68">
        <f>Amortizacion!O172/$A$5</f>
        <v>0</v>
      </c>
      <c r="F177" s="68">
        <f>(+Amortizacion!L172+Amortizacion!U172)/$A$5</f>
        <v>0</v>
      </c>
      <c r="G177" s="68">
        <f>Amortizacion!AA172/$A$5</f>
        <v>0</v>
      </c>
      <c r="H177" s="69">
        <f t="shared" si="2"/>
        <v>0</v>
      </c>
      <c r="I177" s="70"/>
    </row>
    <row r="178" spans="1:9" x14ac:dyDescent="0.35">
      <c r="A178" s="67">
        <v>172</v>
      </c>
      <c r="B178" s="68">
        <f>-Amortizacion!Y173/$A$5</f>
        <v>0</v>
      </c>
      <c r="C178" s="68">
        <f>-Amortizacion!H173/$A$5</f>
        <v>0</v>
      </c>
      <c r="D178" s="68">
        <f>(-Amortizacion!I173-Amortizacion!R173)/$A$5</f>
        <v>0</v>
      </c>
      <c r="E178" s="68">
        <f>Amortizacion!O173/$A$5</f>
        <v>0</v>
      </c>
      <c r="F178" s="68">
        <f>(+Amortizacion!L173+Amortizacion!U173)/$A$5</f>
        <v>0</v>
      </c>
      <c r="G178" s="68">
        <f>Amortizacion!AA173/$A$5</f>
        <v>0</v>
      </c>
      <c r="H178" s="69">
        <f t="shared" si="2"/>
        <v>0</v>
      </c>
      <c r="I178" s="70"/>
    </row>
    <row r="179" spans="1:9" x14ac:dyDescent="0.35">
      <c r="A179" s="67">
        <v>173</v>
      </c>
      <c r="B179" s="68">
        <f>-Amortizacion!Y174/$A$5</f>
        <v>0</v>
      </c>
      <c r="C179" s="68">
        <f>-Amortizacion!H174/$A$5</f>
        <v>0</v>
      </c>
      <c r="D179" s="68">
        <f>(-Amortizacion!I174-Amortizacion!R174)/$A$5</f>
        <v>0</v>
      </c>
      <c r="E179" s="68">
        <f>Amortizacion!O174/$A$5</f>
        <v>0</v>
      </c>
      <c r="F179" s="68">
        <f>(+Amortizacion!L174+Amortizacion!U174)/$A$5</f>
        <v>0</v>
      </c>
      <c r="G179" s="68">
        <f>Amortizacion!AA174/$A$5</f>
        <v>0</v>
      </c>
      <c r="H179" s="69">
        <f t="shared" si="2"/>
        <v>0</v>
      </c>
      <c r="I179" s="70"/>
    </row>
    <row r="180" spans="1:9" x14ac:dyDescent="0.35">
      <c r="A180" s="67">
        <v>174</v>
      </c>
      <c r="B180" s="68">
        <f>-Amortizacion!Y175/$A$5</f>
        <v>0</v>
      </c>
      <c r="C180" s="68">
        <f>-Amortizacion!H175/$A$5</f>
        <v>0</v>
      </c>
      <c r="D180" s="68">
        <f>(-Amortizacion!I175-Amortizacion!R175)/$A$5</f>
        <v>0</v>
      </c>
      <c r="E180" s="68">
        <f>Amortizacion!O175/$A$5</f>
        <v>0</v>
      </c>
      <c r="F180" s="68">
        <f>(+Amortizacion!L175+Amortizacion!U175)/$A$5</f>
        <v>0</v>
      </c>
      <c r="G180" s="68">
        <f>Amortizacion!AA175/$A$5</f>
        <v>0</v>
      </c>
      <c r="H180" s="69">
        <f t="shared" si="2"/>
        <v>0</v>
      </c>
      <c r="I180" s="70"/>
    </row>
    <row r="181" spans="1:9" x14ac:dyDescent="0.35">
      <c r="A181" s="67">
        <v>175</v>
      </c>
      <c r="B181" s="68">
        <f>-Amortizacion!Y176/$A$5</f>
        <v>0</v>
      </c>
      <c r="C181" s="68">
        <f>-Amortizacion!H176/$A$5</f>
        <v>0</v>
      </c>
      <c r="D181" s="68">
        <f>(-Amortizacion!I176-Amortizacion!R176)/$A$5</f>
        <v>0</v>
      </c>
      <c r="E181" s="68">
        <f>Amortizacion!O176/$A$5</f>
        <v>0</v>
      </c>
      <c r="F181" s="68">
        <f>(+Amortizacion!L176+Amortizacion!U176)/$A$5</f>
        <v>0</v>
      </c>
      <c r="G181" s="68">
        <f>Amortizacion!AA176/$A$5</f>
        <v>0</v>
      </c>
      <c r="H181" s="69">
        <f t="shared" si="2"/>
        <v>0</v>
      </c>
      <c r="I181" s="70"/>
    </row>
    <row r="182" spans="1:9" x14ac:dyDescent="0.35">
      <c r="A182" s="67">
        <v>176</v>
      </c>
      <c r="B182" s="68">
        <f>-Amortizacion!Y177/$A$5</f>
        <v>0</v>
      </c>
      <c r="C182" s="68">
        <f>-Amortizacion!H177/$A$5</f>
        <v>0</v>
      </c>
      <c r="D182" s="68">
        <f>(-Amortizacion!I177-Amortizacion!R177)/$A$5</f>
        <v>0</v>
      </c>
      <c r="E182" s="68">
        <f>Amortizacion!O177/$A$5</f>
        <v>0</v>
      </c>
      <c r="F182" s="68">
        <f>(+Amortizacion!L177+Amortizacion!U177)/$A$5</f>
        <v>0</v>
      </c>
      <c r="G182" s="68">
        <f>Amortizacion!AA177/$A$5</f>
        <v>0</v>
      </c>
      <c r="H182" s="69">
        <f t="shared" si="2"/>
        <v>0</v>
      </c>
      <c r="I182" s="70"/>
    </row>
    <row r="183" spans="1:9" x14ac:dyDescent="0.35">
      <c r="A183" s="67">
        <v>177</v>
      </c>
      <c r="B183" s="68">
        <f>-Amortizacion!Y178/$A$5</f>
        <v>0</v>
      </c>
      <c r="C183" s="68">
        <f>-Amortizacion!H178/$A$5</f>
        <v>0</v>
      </c>
      <c r="D183" s="68">
        <f>(-Amortizacion!I178-Amortizacion!R178)/$A$5</f>
        <v>0</v>
      </c>
      <c r="E183" s="68">
        <f>Amortizacion!O178/$A$5</f>
        <v>0</v>
      </c>
      <c r="F183" s="68">
        <f>(+Amortizacion!L178+Amortizacion!U178)/$A$5</f>
        <v>0</v>
      </c>
      <c r="G183" s="68">
        <f>Amortizacion!AA178/$A$5</f>
        <v>0</v>
      </c>
      <c r="H183" s="69">
        <f t="shared" si="2"/>
        <v>0</v>
      </c>
      <c r="I183" s="70"/>
    </row>
    <row r="184" spans="1:9" x14ac:dyDescent="0.35">
      <c r="A184" s="67">
        <v>178</v>
      </c>
      <c r="B184" s="68">
        <f>-Amortizacion!Y179/$A$5</f>
        <v>0</v>
      </c>
      <c r="C184" s="68">
        <f>-Amortizacion!H179/$A$5</f>
        <v>0</v>
      </c>
      <c r="D184" s="68">
        <f>(-Amortizacion!I179-Amortizacion!R179)/$A$5</f>
        <v>0</v>
      </c>
      <c r="E184" s="68">
        <f>Amortizacion!O179/$A$5</f>
        <v>0</v>
      </c>
      <c r="F184" s="68">
        <f>(+Amortizacion!L179+Amortizacion!U179)/$A$5</f>
        <v>0</v>
      </c>
      <c r="G184" s="68">
        <f>Amortizacion!AA179/$A$5</f>
        <v>0</v>
      </c>
      <c r="H184" s="69">
        <f t="shared" si="2"/>
        <v>0</v>
      </c>
      <c r="I184" s="70"/>
    </row>
    <row r="185" spans="1:9" x14ac:dyDescent="0.35">
      <c r="A185" s="67">
        <v>179</v>
      </c>
      <c r="B185" s="68">
        <f>-Amortizacion!Y180/$A$5</f>
        <v>0</v>
      </c>
      <c r="C185" s="68">
        <f>-Amortizacion!H180/$A$5</f>
        <v>0</v>
      </c>
      <c r="D185" s="68">
        <f>(-Amortizacion!I180-Amortizacion!R180)/$A$5</f>
        <v>0</v>
      </c>
      <c r="E185" s="68">
        <f>Amortizacion!O180/$A$5</f>
        <v>0</v>
      </c>
      <c r="F185" s="68">
        <f>(+Amortizacion!L180+Amortizacion!U180)/$A$5</f>
        <v>0</v>
      </c>
      <c r="G185" s="68">
        <f>Amortizacion!AA180/$A$5</f>
        <v>0</v>
      </c>
      <c r="H185" s="69">
        <f t="shared" si="2"/>
        <v>0</v>
      </c>
      <c r="I185" s="70"/>
    </row>
    <row r="186" spans="1:9" x14ac:dyDescent="0.35">
      <c r="A186" s="67">
        <v>180</v>
      </c>
      <c r="B186" s="68">
        <f>-Amortizacion!Y181/$A$5</f>
        <v>0</v>
      </c>
      <c r="C186" s="68">
        <f>-Amortizacion!H181/$A$5</f>
        <v>0</v>
      </c>
      <c r="D186" s="68">
        <f>(-Amortizacion!I181-Amortizacion!R181)/$A$5</f>
        <v>0</v>
      </c>
      <c r="E186" s="68">
        <f>Amortizacion!O181/$A$5</f>
        <v>0</v>
      </c>
      <c r="F186" s="68">
        <f>(+Amortizacion!L181+Amortizacion!U181)/$A$5</f>
        <v>0</v>
      </c>
      <c r="G186" s="68">
        <f>Amortizacion!AA181/$A$5</f>
        <v>0</v>
      </c>
      <c r="H186" s="69">
        <f t="shared" si="2"/>
        <v>0</v>
      </c>
      <c r="I186" s="70"/>
    </row>
    <row r="187" spans="1:9" x14ac:dyDescent="0.35">
      <c r="A187" s="67">
        <v>181</v>
      </c>
      <c r="B187" s="68">
        <f>-Amortizacion!Y182/$A$5</f>
        <v>0</v>
      </c>
      <c r="C187" s="68">
        <f>-Amortizacion!H182/$A$5</f>
        <v>0</v>
      </c>
      <c r="D187" s="68">
        <f>(-Amortizacion!I182-Amortizacion!R182)/$A$5</f>
        <v>0</v>
      </c>
      <c r="E187" s="68">
        <f>Amortizacion!O182/$A$5</f>
        <v>0</v>
      </c>
      <c r="F187" s="68">
        <f>(+Amortizacion!L182+Amortizacion!U182)/$A$5</f>
        <v>0</v>
      </c>
      <c r="G187" s="68">
        <f>Amortizacion!AA182/$A$5</f>
        <v>0</v>
      </c>
      <c r="H187" s="69">
        <f t="shared" si="2"/>
        <v>0</v>
      </c>
      <c r="I187" s="70"/>
    </row>
    <row r="188" spans="1:9" x14ac:dyDescent="0.35">
      <c r="A188" s="67">
        <v>182</v>
      </c>
      <c r="B188" s="68">
        <f>-Amortizacion!Y183/$A$5</f>
        <v>0</v>
      </c>
      <c r="C188" s="68">
        <f>-Amortizacion!H183/$A$5</f>
        <v>0</v>
      </c>
      <c r="D188" s="68">
        <f>(-Amortizacion!I183-Amortizacion!R183)/$A$5</f>
        <v>0</v>
      </c>
      <c r="E188" s="68">
        <f>Amortizacion!O183/$A$5</f>
        <v>0</v>
      </c>
      <c r="F188" s="68">
        <f>(+Amortizacion!L183+Amortizacion!U183)/$A$5</f>
        <v>0</v>
      </c>
      <c r="G188" s="68">
        <f>Amortizacion!AA183/$A$5</f>
        <v>0</v>
      </c>
      <c r="H188" s="69">
        <f t="shared" si="2"/>
        <v>0</v>
      </c>
      <c r="I188" s="70"/>
    </row>
    <row r="189" spans="1:9" x14ac:dyDescent="0.35">
      <c r="A189" s="67">
        <v>183</v>
      </c>
      <c r="B189" s="68">
        <f>-Amortizacion!Y184/$A$5</f>
        <v>0</v>
      </c>
      <c r="C189" s="68">
        <f>-Amortizacion!H184/$A$5</f>
        <v>0</v>
      </c>
      <c r="D189" s="68">
        <f>(-Amortizacion!I184-Amortizacion!R184)/$A$5</f>
        <v>0</v>
      </c>
      <c r="E189" s="68">
        <f>Amortizacion!O184/$A$5</f>
        <v>0</v>
      </c>
      <c r="F189" s="68">
        <f>(+Amortizacion!L184+Amortizacion!U184)/$A$5</f>
        <v>0</v>
      </c>
      <c r="G189" s="68">
        <f>Amortizacion!AA184/$A$5</f>
        <v>0</v>
      </c>
      <c r="H189" s="69">
        <f t="shared" si="2"/>
        <v>0</v>
      </c>
      <c r="I189" s="70"/>
    </row>
    <row r="190" spans="1:9" x14ac:dyDescent="0.35">
      <c r="A190" s="67">
        <v>184</v>
      </c>
      <c r="B190" s="68">
        <f>-Amortizacion!Y185/$A$5</f>
        <v>0</v>
      </c>
      <c r="C190" s="68">
        <f>-Amortizacion!H185/$A$5</f>
        <v>0</v>
      </c>
      <c r="D190" s="68">
        <f>(-Amortizacion!I185-Amortizacion!R185)/$A$5</f>
        <v>0</v>
      </c>
      <c r="E190" s="68">
        <f>Amortizacion!O185/$A$5</f>
        <v>0</v>
      </c>
      <c r="F190" s="68">
        <f>(+Amortizacion!L185+Amortizacion!U185)/$A$5</f>
        <v>0</v>
      </c>
      <c r="G190" s="68">
        <f>Amortizacion!AA185/$A$5</f>
        <v>0</v>
      </c>
      <c r="H190" s="69">
        <f t="shared" si="2"/>
        <v>0</v>
      </c>
      <c r="I190" s="70"/>
    </row>
    <row r="191" spans="1:9" x14ac:dyDescent="0.35">
      <c r="A191" s="67">
        <v>185</v>
      </c>
      <c r="B191" s="68">
        <f>-Amortizacion!Y186/$A$5</f>
        <v>0</v>
      </c>
      <c r="C191" s="68">
        <f>-Amortizacion!H186/$A$5</f>
        <v>0</v>
      </c>
      <c r="D191" s="68">
        <f>(-Amortizacion!I186-Amortizacion!R186)/$A$5</f>
        <v>0</v>
      </c>
      <c r="E191" s="68">
        <f>Amortizacion!O186/$A$5</f>
        <v>0</v>
      </c>
      <c r="F191" s="68">
        <f>(+Amortizacion!L186+Amortizacion!U186)/$A$5</f>
        <v>0</v>
      </c>
      <c r="G191" s="68">
        <f>Amortizacion!AA186/$A$5</f>
        <v>0</v>
      </c>
      <c r="H191" s="69">
        <f t="shared" si="2"/>
        <v>0</v>
      </c>
      <c r="I191" s="70"/>
    </row>
    <row r="192" spans="1:9" x14ac:dyDescent="0.35">
      <c r="A192" s="67">
        <v>186</v>
      </c>
      <c r="B192" s="68">
        <f>-Amortizacion!Y187/$A$5</f>
        <v>0</v>
      </c>
      <c r="C192" s="68">
        <f>-Amortizacion!H187/$A$5</f>
        <v>0</v>
      </c>
      <c r="D192" s="68">
        <f>(-Amortizacion!I187-Amortizacion!R187)/$A$5</f>
        <v>0</v>
      </c>
      <c r="E192" s="68">
        <f>Amortizacion!O187/$A$5</f>
        <v>0</v>
      </c>
      <c r="F192" s="68">
        <f>(+Amortizacion!L187+Amortizacion!U187)/$A$5</f>
        <v>0</v>
      </c>
      <c r="G192" s="68">
        <f>Amortizacion!AA187/$A$5</f>
        <v>0</v>
      </c>
      <c r="H192" s="69">
        <f t="shared" si="2"/>
        <v>0</v>
      </c>
      <c r="I192" s="70"/>
    </row>
    <row r="193" spans="1:10" x14ac:dyDescent="0.35">
      <c r="A193" s="67">
        <v>187</v>
      </c>
      <c r="B193" s="68">
        <f>-Amortizacion!Y188/$A$5</f>
        <v>0</v>
      </c>
      <c r="C193" s="68">
        <f>-Amortizacion!H188/$A$5</f>
        <v>0</v>
      </c>
      <c r="D193" s="68">
        <f>(-Amortizacion!I188-Amortizacion!R188)/$A$5</f>
        <v>0</v>
      </c>
      <c r="E193" s="68">
        <f>Amortizacion!O188/$A$5</f>
        <v>0</v>
      </c>
      <c r="F193" s="68">
        <f>(+Amortizacion!L188+Amortizacion!U188)/$A$5</f>
        <v>0</v>
      </c>
      <c r="G193" s="68">
        <f>Amortizacion!AA188/$A$5</f>
        <v>0</v>
      </c>
      <c r="H193" s="69">
        <f t="shared" si="2"/>
        <v>0</v>
      </c>
      <c r="I193" s="70"/>
    </row>
    <row r="194" spans="1:10" x14ac:dyDescent="0.35">
      <c r="A194" s="67">
        <v>188</v>
      </c>
      <c r="B194" s="68">
        <f>-Amortizacion!Y189/$A$5</f>
        <v>0</v>
      </c>
      <c r="C194" s="68">
        <f>-Amortizacion!H189/$A$5</f>
        <v>0</v>
      </c>
      <c r="D194" s="68">
        <f>(-Amortizacion!I189-Amortizacion!R189)/$A$5</f>
        <v>0</v>
      </c>
      <c r="E194" s="68">
        <f>Amortizacion!O189/$A$5</f>
        <v>0</v>
      </c>
      <c r="F194" s="68">
        <f>(+Amortizacion!L189+Amortizacion!U189)/$A$5</f>
        <v>0</v>
      </c>
      <c r="G194" s="68">
        <f>Amortizacion!AA189/$A$5</f>
        <v>0</v>
      </c>
      <c r="H194" s="69">
        <f t="shared" si="2"/>
        <v>0</v>
      </c>
      <c r="I194" s="70"/>
    </row>
    <row r="195" spans="1:10" x14ac:dyDescent="0.35">
      <c r="A195" s="67">
        <v>189</v>
      </c>
      <c r="B195" s="68">
        <f>-Amortizacion!Y190/$A$5</f>
        <v>0</v>
      </c>
      <c r="C195" s="68">
        <f>-Amortizacion!H190/$A$5</f>
        <v>0</v>
      </c>
      <c r="D195" s="68">
        <f>(-Amortizacion!I190-Amortizacion!R190)/$A$5</f>
        <v>0</v>
      </c>
      <c r="E195" s="68">
        <f>Amortizacion!O190/$A$5</f>
        <v>0</v>
      </c>
      <c r="F195" s="68">
        <f>(+Amortizacion!L190+Amortizacion!U190)/$A$5</f>
        <v>0</v>
      </c>
      <c r="G195" s="68">
        <f>Amortizacion!AA190/$A$5</f>
        <v>0</v>
      </c>
      <c r="H195" s="69">
        <f t="shared" si="2"/>
        <v>0</v>
      </c>
      <c r="I195" s="70"/>
    </row>
    <row r="196" spans="1:10" x14ac:dyDescent="0.35">
      <c r="A196" s="67">
        <v>190</v>
      </c>
      <c r="B196" s="68">
        <f>-Amortizacion!Y191/$A$5</f>
        <v>0</v>
      </c>
      <c r="C196" s="68">
        <f>-Amortizacion!H191/$A$5</f>
        <v>0</v>
      </c>
      <c r="D196" s="68">
        <f>(-Amortizacion!I191-Amortizacion!R191)/$A$5</f>
        <v>0</v>
      </c>
      <c r="E196" s="68">
        <f>Amortizacion!O191/$A$5</f>
        <v>0</v>
      </c>
      <c r="F196" s="68">
        <f>(+Amortizacion!L191+Amortizacion!U191)/$A$5</f>
        <v>0</v>
      </c>
      <c r="G196" s="68">
        <f>Amortizacion!AA191/$A$5</f>
        <v>0</v>
      </c>
      <c r="H196" s="69">
        <f t="shared" si="2"/>
        <v>0</v>
      </c>
      <c r="I196" s="70"/>
    </row>
    <row r="197" spans="1:10" x14ac:dyDescent="0.35">
      <c r="A197" s="67">
        <v>191</v>
      </c>
      <c r="B197" s="68">
        <f>-Amortizacion!Y192/$A$5</f>
        <v>0</v>
      </c>
      <c r="C197" s="68">
        <f>-Amortizacion!H192/$A$5</f>
        <v>0</v>
      </c>
      <c r="D197" s="68">
        <f>(-Amortizacion!I192-Amortizacion!R192)/$A$5</f>
        <v>0</v>
      </c>
      <c r="E197" s="68">
        <f>Amortizacion!O192/$A$5</f>
        <v>0</v>
      </c>
      <c r="F197" s="68">
        <f>(+Amortizacion!L192+Amortizacion!U192)/$A$5</f>
        <v>0</v>
      </c>
      <c r="G197" s="68">
        <f>Amortizacion!AA192/$A$5</f>
        <v>0</v>
      </c>
      <c r="H197" s="69">
        <f t="shared" si="2"/>
        <v>0</v>
      </c>
      <c r="I197" s="70"/>
    </row>
    <row r="198" spans="1:10" x14ac:dyDescent="0.35">
      <c r="A198" s="67">
        <v>192</v>
      </c>
      <c r="B198" s="68">
        <f>-Amortizacion!Y193/$A$5</f>
        <v>0</v>
      </c>
      <c r="C198" s="68">
        <f>-Amortizacion!H193/$A$5</f>
        <v>0</v>
      </c>
      <c r="D198" s="68">
        <f>(-Amortizacion!I193-Amortizacion!R193)/$A$5</f>
        <v>0</v>
      </c>
      <c r="E198" s="68">
        <f>Amortizacion!O193/$A$5</f>
        <v>0</v>
      </c>
      <c r="F198" s="68">
        <f>(+Amortizacion!L193+Amortizacion!U193)/$A$5</f>
        <v>0</v>
      </c>
      <c r="G198" s="68">
        <f>Amortizacion!AA193/$A$5</f>
        <v>0</v>
      </c>
      <c r="H198" s="69">
        <f t="shared" si="2"/>
        <v>0</v>
      </c>
      <c r="I198" s="70"/>
      <c r="J198" s="71"/>
    </row>
    <row r="199" spans="1:10" x14ac:dyDescent="0.35">
      <c r="B199" s="72"/>
      <c r="C199" s="72"/>
      <c r="D199" s="73"/>
      <c r="E199" s="68"/>
      <c r="F199" s="68"/>
      <c r="G199" s="68"/>
      <c r="H199" s="68"/>
      <c r="I199" s="68"/>
    </row>
    <row r="200" spans="1:10" x14ac:dyDescent="0.35">
      <c r="B200" s="72"/>
      <c r="C200" s="72"/>
      <c r="D200" s="73"/>
      <c r="E200" s="68"/>
      <c r="F200" s="68"/>
      <c r="G200" s="68"/>
      <c r="H200" s="68"/>
      <c r="I200" s="68"/>
    </row>
    <row r="201" spans="1:10" x14ac:dyDescent="0.35">
      <c r="B201" s="72"/>
      <c r="C201" s="72"/>
      <c r="D201" s="73"/>
      <c r="E201" s="68"/>
      <c r="F201" s="68"/>
      <c r="G201" s="68"/>
      <c r="H201" s="68"/>
      <c r="I201" s="68"/>
    </row>
    <row r="202" spans="1:10" x14ac:dyDescent="0.35">
      <c r="B202" s="72"/>
      <c r="C202" s="72"/>
      <c r="D202" s="73"/>
      <c r="E202" s="68"/>
      <c r="F202" s="68"/>
      <c r="G202" s="68"/>
      <c r="H202" s="68"/>
      <c r="I202" s="68"/>
    </row>
    <row r="203" spans="1:10" x14ac:dyDescent="0.35">
      <c r="B203" s="72"/>
      <c r="C203" s="72"/>
      <c r="D203" s="73"/>
      <c r="E203" s="68"/>
      <c r="F203" s="68"/>
      <c r="G203" s="68"/>
      <c r="H203" s="68"/>
      <c r="I203" s="68"/>
    </row>
    <row r="204" spans="1:10" x14ac:dyDescent="0.35">
      <c r="B204" s="72"/>
      <c r="C204" s="72"/>
      <c r="D204" s="73"/>
      <c r="E204" s="68"/>
      <c r="F204" s="68"/>
      <c r="G204" s="68"/>
      <c r="H204" s="68"/>
      <c r="I204" s="68"/>
    </row>
    <row r="205" spans="1:10" x14ac:dyDescent="0.35">
      <c r="B205" s="72"/>
      <c r="C205" s="72"/>
      <c r="D205" s="73"/>
      <c r="E205" s="68"/>
      <c r="F205" s="68"/>
      <c r="G205" s="68"/>
      <c r="H205" s="68"/>
      <c r="I205" s="68"/>
    </row>
    <row r="206" spans="1:10" x14ac:dyDescent="0.35">
      <c r="B206" s="72"/>
      <c r="C206" s="72"/>
      <c r="D206" s="73"/>
      <c r="E206" s="68"/>
      <c r="F206" s="68"/>
      <c r="G206" s="68"/>
      <c r="H206" s="68"/>
      <c r="I206" s="68"/>
    </row>
    <row r="207" spans="1:10" x14ac:dyDescent="0.35">
      <c r="B207" s="72"/>
      <c r="C207" s="72"/>
      <c r="D207" s="73"/>
      <c r="E207" s="68"/>
      <c r="F207" s="68"/>
      <c r="G207" s="68"/>
      <c r="H207" s="68"/>
      <c r="I207" s="68"/>
    </row>
    <row r="208" spans="1:10" x14ac:dyDescent="0.35">
      <c r="B208" s="72"/>
      <c r="C208" s="72"/>
      <c r="D208" s="73"/>
      <c r="E208" s="68"/>
      <c r="F208" s="68"/>
      <c r="G208" s="68"/>
      <c r="H208" s="68"/>
      <c r="I208" s="68"/>
    </row>
    <row r="209" spans="2:9" x14ac:dyDescent="0.35">
      <c r="B209" s="72"/>
      <c r="C209" s="72"/>
      <c r="D209" s="73"/>
      <c r="E209" s="68"/>
      <c r="F209" s="68"/>
      <c r="G209" s="68"/>
      <c r="H209" s="68"/>
      <c r="I209" s="68"/>
    </row>
    <row r="210" spans="2:9" x14ac:dyDescent="0.35">
      <c r="B210" s="72"/>
      <c r="C210" s="72"/>
      <c r="D210" s="73"/>
      <c r="E210" s="68"/>
      <c r="F210" s="68"/>
      <c r="G210" s="68"/>
      <c r="H210" s="68"/>
      <c r="I210" s="68"/>
    </row>
    <row r="211" spans="2:9" x14ac:dyDescent="0.35">
      <c r="B211" s="72"/>
      <c r="C211" s="72"/>
      <c r="D211" s="73"/>
      <c r="E211" s="68"/>
      <c r="F211" s="68"/>
      <c r="G211" s="68"/>
      <c r="H211" s="68"/>
      <c r="I211" s="68"/>
    </row>
    <row r="212" spans="2:9" x14ac:dyDescent="0.35">
      <c r="B212" s="72"/>
      <c r="C212" s="72"/>
      <c r="D212" s="73"/>
      <c r="E212" s="68"/>
      <c r="F212" s="68"/>
      <c r="G212" s="68"/>
      <c r="H212" s="68"/>
      <c r="I212" s="68"/>
    </row>
    <row r="213" spans="2:9" x14ac:dyDescent="0.35">
      <c r="B213" s="72"/>
      <c r="C213" s="72"/>
      <c r="D213" s="73"/>
      <c r="E213" s="68"/>
      <c r="F213" s="68"/>
      <c r="G213" s="68"/>
      <c r="H213" s="68"/>
      <c r="I213" s="68"/>
    </row>
    <row r="214" spans="2:9" x14ac:dyDescent="0.35">
      <c r="B214" s="72"/>
      <c r="C214" s="72"/>
      <c r="D214" s="73"/>
      <c r="E214" s="68"/>
      <c r="F214" s="68"/>
      <c r="G214" s="68"/>
      <c r="H214" s="68"/>
      <c r="I214" s="68"/>
    </row>
    <row r="215" spans="2:9" x14ac:dyDescent="0.35">
      <c r="B215" s="72"/>
      <c r="C215" s="72"/>
      <c r="D215" s="73"/>
      <c r="E215" s="68"/>
      <c r="F215" s="68"/>
      <c r="G215" s="68"/>
      <c r="H215" s="68"/>
      <c r="I215" s="68"/>
    </row>
    <row r="216" spans="2:9" x14ac:dyDescent="0.35">
      <c r="B216" s="72"/>
      <c r="C216" s="72"/>
      <c r="D216" s="73"/>
      <c r="E216" s="68"/>
      <c r="F216" s="68"/>
      <c r="G216" s="68"/>
      <c r="H216" s="68"/>
      <c r="I216" s="68"/>
    </row>
    <row r="217" spans="2:9" x14ac:dyDescent="0.35">
      <c r="B217" s="72"/>
      <c r="C217" s="72"/>
      <c r="D217" s="73"/>
      <c r="E217" s="68"/>
      <c r="F217" s="68"/>
      <c r="G217" s="68"/>
      <c r="H217" s="68"/>
      <c r="I217" s="68"/>
    </row>
    <row r="218" spans="2:9" x14ac:dyDescent="0.35">
      <c r="B218" s="72"/>
      <c r="C218" s="72"/>
      <c r="D218" s="73"/>
      <c r="E218" s="68"/>
      <c r="F218" s="68"/>
      <c r="G218" s="68"/>
      <c r="H218" s="68"/>
      <c r="I218" s="68"/>
    </row>
    <row r="219" spans="2:9" x14ac:dyDescent="0.35">
      <c r="B219" s="72"/>
      <c r="C219" s="72"/>
      <c r="D219" s="73"/>
      <c r="E219" s="68"/>
      <c r="F219" s="68"/>
      <c r="G219" s="68"/>
      <c r="H219" s="68"/>
      <c r="I219" s="68"/>
    </row>
    <row r="220" spans="2:9" x14ac:dyDescent="0.35">
      <c r="B220" s="72"/>
      <c r="C220" s="72"/>
      <c r="D220" s="73"/>
      <c r="E220" s="68"/>
      <c r="F220" s="68"/>
      <c r="G220" s="68"/>
      <c r="H220" s="68"/>
      <c r="I220" s="68"/>
    </row>
    <row r="221" spans="2:9" x14ac:dyDescent="0.35">
      <c r="B221" s="72"/>
      <c r="C221" s="72"/>
      <c r="D221" s="73"/>
      <c r="E221" s="68"/>
      <c r="F221" s="68"/>
      <c r="G221" s="68"/>
      <c r="H221" s="68"/>
      <c r="I221" s="68"/>
    </row>
    <row r="222" spans="2:9" x14ac:dyDescent="0.35">
      <c r="B222" s="72"/>
      <c r="C222" s="72"/>
      <c r="D222" s="73"/>
      <c r="E222" s="68"/>
      <c r="F222" s="68"/>
      <c r="G222" s="68"/>
      <c r="H222" s="68"/>
      <c r="I222" s="68"/>
    </row>
    <row r="223" spans="2:9" x14ac:dyDescent="0.35">
      <c r="B223" s="72"/>
      <c r="C223" s="72"/>
      <c r="D223" s="73"/>
      <c r="E223" s="68"/>
      <c r="F223" s="68"/>
      <c r="G223" s="68"/>
      <c r="H223" s="68"/>
      <c r="I223" s="68"/>
    </row>
    <row r="224" spans="2:9" x14ac:dyDescent="0.35">
      <c r="B224" s="72"/>
      <c r="C224" s="72"/>
      <c r="D224" s="73"/>
      <c r="E224" s="68"/>
      <c r="F224" s="68"/>
      <c r="G224" s="68"/>
      <c r="H224" s="68"/>
      <c r="I224" s="68"/>
    </row>
    <row r="225" spans="2:9" x14ac:dyDescent="0.35">
      <c r="B225" s="72"/>
      <c r="C225" s="72"/>
      <c r="D225" s="73"/>
      <c r="E225" s="68"/>
      <c r="F225" s="68"/>
      <c r="G225" s="68"/>
      <c r="H225" s="68"/>
      <c r="I225" s="68"/>
    </row>
    <row r="226" spans="2:9" x14ac:dyDescent="0.35">
      <c r="B226" s="72"/>
      <c r="C226" s="72"/>
      <c r="D226" s="73"/>
      <c r="E226" s="68"/>
      <c r="F226" s="68"/>
      <c r="G226" s="68"/>
      <c r="H226" s="68"/>
      <c r="I226" s="68"/>
    </row>
    <row r="227" spans="2:9" x14ac:dyDescent="0.35">
      <c r="B227" s="72"/>
      <c r="C227" s="72"/>
      <c r="D227" s="73"/>
      <c r="E227" s="68"/>
      <c r="F227" s="68"/>
      <c r="G227" s="68"/>
      <c r="H227" s="68"/>
      <c r="I227" s="68"/>
    </row>
  </sheetData>
  <sheetProtection algorithmName="SHA-512" hashValue="sICixpbg91eBC3H0eFPw4onKMeWuMhq49lN2iZbJZGwQFRI4lPtQehmx+Z2thpeAx6UQno/RF3LOUAGF+fFqdA==" saltValue="deq23GCChjHecbhQiriExw==" spinCount="100000" sheet="1" objects="1" scenarios="1"/>
  <mergeCells count="2">
    <mergeCell ref="F5:H5"/>
    <mergeCell ref="A2:I2"/>
  </mergeCells>
  <dataValidations count="1">
    <dataValidation type="list" allowBlank="1" showInputMessage="1" showErrorMessage="1" sqref="B4" xr:uid="{A33F4904-D16A-4DB5-8A63-5AF8B6EA2603}">
      <formula1>$K$3:$K$4</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B395"/>
  <sheetViews>
    <sheetView zoomScale="70" zoomScaleNormal="70" workbookViewId="0">
      <pane xSplit="2" ySplit="1" topLeftCell="C2" activePane="bottomRight" state="frozen"/>
      <selection activeCell="B1" sqref="B1"/>
      <selection pane="topRight" activeCell="C1" sqref="C1"/>
      <selection pane="bottomLeft" activeCell="B2" sqref="B2"/>
      <selection pane="bottomRight" activeCell="H19" sqref="H19"/>
    </sheetView>
  </sheetViews>
  <sheetFormatPr baseColWidth="10" defaultRowHeight="14.5" x14ac:dyDescent="0.35"/>
  <cols>
    <col min="1" max="1" width="5.26953125" customWidth="1"/>
    <col min="2" max="2" width="7.453125" customWidth="1"/>
    <col min="3" max="3" width="13.54296875" customWidth="1"/>
    <col min="4" max="4" width="14.54296875" customWidth="1"/>
    <col min="5" max="5" width="12.54296875" customWidth="1"/>
    <col min="6" max="6" width="14.54296875" customWidth="1"/>
    <col min="7" max="7" width="15" customWidth="1"/>
    <col min="8" max="9" width="13.54296875" customWidth="1"/>
    <col min="10" max="10" width="14.26953125" customWidth="1"/>
    <col min="11" max="11" width="12.7265625" bestFit="1" customWidth="1"/>
    <col min="12" max="13" width="15.7265625" customWidth="1"/>
    <col min="14" max="15" width="16" customWidth="1"/>
    <col min="16" max="16" width="13" customWidth="1"/>
    <col min="17" max="17" width="15.54296875" customWidth="1"/>
    <col min="18" max="19" width="14.1796875" customWidth="1"/>
    <col min="20" max="20" width="12.7265625" bestFit="1" customWidth="1"/>
    <col min="21" max="21" width="12.54296875" bestFit="1" customWidth="1"/>
    <col min="22" max="22" width="17.453125" customWidth="1"/>
    <col min="23" max="23" width="15.1796875" bestFit="1" customWidth="1"/>
    <col min="24" max="24" width="13.81640625" customWidth="1"/>
    <col min="25" max="25" width="17.81640625" bestFit="1" customWidth="1"/>
    <col min="26" max="28" width="16.26953125" customWidth="1"/>
  </cols>
  <sheetData>
    <row r="1" spans="1:28" s="28" customFormat="1" ht="43.5" x14ac:dyDescent="0.35">
      <c r="A1" s="22" t="s">
        <v>24</v>
      </c>
      <c r="B1" s="22" t="s">
        <v>24</v>
      </c>
      <c r="C1" s="23" t="s">
        <v>34</v>
      </c>
      <c r="D1" s="23" t="s">
        <v>18</v>
      </c>
      <c r="E1" s="23" t="s">
        <v>21</v>
      </c>
      <c r="F1" s="23" t="s">
        <v>35</v>
      </c>
      <c r="G1" s="24" t="s">
        <v>25</v>
      </c>
      <c r="H1" s="23" t="s">
        <v>36</v>
      </c>
      <c r="I1" s="23" t="s">
        <v>37</v>
      </c>
      <c r="J1" s="24" t="s">
        <v>26</v>
      </c>
      <c r="K1" s="24" t="s">
        <v>42</v>
      </c>
      <c r="L1" s="24" t="s">
        <v>46</v>
      </c>
      <c r="M1" s="23" t="s">
        <v>62</v>
      </c>
      <c r="N1" s="24" t="s">
        <v>27</v>
      </c>
      <c r="O1" s="23" t="s">
        <v>55</v>
      </c>
      <c r="P1" s="25" t="s">
        <v>47</v>
      </c>
      <c r="Q1" s="26" t="s">
        <v>28</v>
      </c>
      <c r="R1" s="26" t="s">
        <v>29</v>
      </c>
      <c r="S1" s="26" t="s">
        <v>30</v>
      </c>
      <c r="T1" s="26" t="s">
        <v>44</v>
      </c>
      <c r="U1" s="26" t="s">
        <v>45</v>
      </c>
      <c r="V1" s="26" t="s">
        <v>43</v>
      </c>
      <c r="W1" s="29" t="s">
        <v>48</v>
      </c>
      <c r="X1" s="27" t="s">
        <v>3</v>
      </c>
      <c r="Y1" s="29" t="s">
        <v>32</v>
      </c>
      <c r="Z1" s="29" t="s">
        <v>49</v>
      </c>
      <c r="AA1" s="29" t="s">
        <v>64</v>
      </c>
      <c r="AB1" s="29" t="s">
        <v>60</v>
      </c>
    </row>
    <row r="2" spans="1:28" x14ac:dyDescent="0.35">
      <c r="A2">
        <v>1</v>
      </c>
      <c r="B2">
        <v>1</v>
      </c>
      <c r="C2" s="1">
        <f>+IFERROR(HLOOKUP($B2,Resumen!$F$3:$AM$10,8,0),0)</f>
        <v>1</v>
      </c>
      <c r="D2" s="1">
        <f>+IFERROR(HLOOKUP($B2,Resumen!$F$3:$AM$12,10),0)</f>
        <v>0</v>
      </c>
      <c r="E2" s="1">
        <f>+IF(B2=Resumen!$C$38*6-6,1,0)</f>
        <v>0</v>
      </c>
      <c r="F2" s="1">
        <f>+IFERROR(HLOOKUP($B2,Resumen!$F$3:$AM$14,12),0)</f>
        <v>0</v>
      </c>
      <c r="G2" s="17"/>
      <c r="H2" s="17">
        <f>IF(X2="",0,IF(F2=0,ROUND(SUM(J$2:J2)*X2,2),0))</f>
        <v>40149.19</v>
      </c>
      <c r="I2" s="17">
        <f t="shared" ref="I2:I65" si="0">+IF(X2="",0,IF(F2=1,G2*X2,0))</f>
        <v>0</v>
      </c>
      <c r="J2" s="17">
        <f>(Resumen!$C$10*(1-Resumen!$C$24))*C2</f>
        <v>3500000</v>
      </c>
      <c r="K2" s="17">
        <f>+IF(F2=1,PMT(X2,(Resumen!$C$36+Resumen!$C$26+Resumen!$C$14*6-B2+1),-Amortizacion!G2),0)</f>
        <v>0</v>
      </c>
      <c r="L2" s="17">
        <f>+IF(I2="","",K2-I2)</f>
        <v>0</v>
      </c>
      <c r="M2" s="17">
        <f>+IF(Resumen!$C$20="no",H2,0)</f>
        <v>0</v>
      </c>
      <c r="N2" s="17">
        <f>+IF(F2=0,SUM(G2:K2)-M2,G2-L2)</f>
        <v>3540149.19</v>
      </c>
      <c r="O2" s="17">
        <f>+IF(AND(Resumen!$C$18="SI",Amortizacion!E2=1),Amortizacion!N2*25%,0)</f>
        <v>0</v>
      </c>
      <c r="P2" s="1">
        <f>+IF(Resumen!$C$24=0%,0,IF(S2&lt;&gt;0,6,P1-1))</f>
        <v>6</v>
      </c>
      <c r="Q2" s="17">
        <f>+S2</f>
        <v>1500000</v>
      </c>
      <c r="R2" s="17">
        <f>+IF(X2="",0,Q2*X2)</f>
        <v>17206.794272391136</v>
      </c>
      <c r="S2" s="17">
        <f>(Resumen!$C$10*(Resumen!$C$24))*C2</f>
        <v>1500000</v>
      </c>
      <c r="T2" s="21">
        <f>+IF(X2="",0,IFERROR(PMT(X2,P2,-Q2),0))</f>
        <v>260132.69268164976</v>
      </c>
      <c r="U2" s="17">
        <f>+IFERROR(T2-R2,0)</f>
        <v>242925.89840925863</v>
      </c>
      <c r="V2" s="17">
        <f>+Q2-U2</f>
        <v>1257074.1015907414</v>
      </c>
      <c r="W2" s="17">
        <f>+N2+V2</f>
        <v>4797223.2915907409</v>
      </c>
      <c r="X2" s="15">
        <f>+IF(B2="","",Resumen!$C$34)</f>
        <v>1.147119618159409E-2</v>
      </c>
      <c r="Y2" s="16">
        <f t="shared" ref="Y2:Y65" si="1">+J2+S2</f>
        <v>5000000</v>
      </c>
      <c r="Z2" s="20">
        <f>+T2+K2+M2</f>
        <v>260132.69268164976</v>
      </c>
      <c r="AA2" s="20">
        <f>+R2+M2+I2</f>
        <v>17206.794272391136</v>
      </c>
      <c r="AB2" s="20">
        <f>+IF(Resumen!$C$8="no",0,W2*((1+10%)^(0.0833333333333333)-1))</f>
        <v>0</v>
      </c>
    </row>
    <row r="3" spans="1:28" x14ac:dyDescent="0.35">
      <c r="A3">
        <f>+A2+1</f>
        <v>2</v>
      </c>
      <c r="B3">
        <f>+IF(A3&gt;Resumen!$C$40,"",A3)</f>
        <v>2</v>
      </c>
      <c r="C3" s="1">
        <f>+IFERROR(HLOOKUP($B3,Resumen!$F$3:$AM$10,8,0),0)</f>
        <v>0</v>
      </c>
      <c r="D3" s="1">
        <f>+IFERROR(HLOOKUP($B3,Resumen!$F$3:$AM$12,10),0)</f>
        <v>0</v>
      </c>
      <c r="E3" s="1">
        <f>+IF(B3=Resumen!$C$38*6-6,1,0)</f>
        <v>0</v>
      </c>
      <c r="F3" s="1">
        <f>+IFERROR(HLOOKUP($B3,Resumen!$F$3:$AM$14,12),0)</f>
        <v>0</v>
      </c>
      <c r="G3" s="17">
        <f t="shared" ref="G3:G8" si="2">+N2</f>
        <v>3540149.19</v>
      </c>
      <c r="H3" s="17">
        <f>IF(X3="",0,IF(F3=0,ROUND(SUM(J$2:J3)*X3,2),0))</f>
        <v>40149.19</v>
      </c>
      <c r="I3" s="17">
        <f t="shared" si="0"/>
        <v>0</v>
      </c>
      <c r="J3" s="17">
        <f>(Resumen!$C$10*(1-Resumen!$C$24))*C3</f>
        <v>0</v>
      </c>
      <c r="K3" s="17">
        <f>+IF(F3=1,PMT(X3,(Resumen!$C$36+Resumen!$C$26+Resumen!$C$14*6-B3+1),-Amortizacion!G3),0)</f>
        <v>0</v>
      </c>
      <c r="L3" s="17">
        <f t="shared" ref="L3:L66" si="3">+IF(I3="","",K3-I3)</f>
        <v>0</v>
      </c>
      <c r="M3" s="17">
        <f>+IF(Resumen!$C$20="no",H3,0)</f>
        <v>0</v>
      </c>
      <c r="N3" s="17">
        <f t="shared" ref="N3:N66" si="4">+IF(F3=0,SUM(G3:K3)-M3,G3-L3)</f>
        <v>3580298.38</v>
      </c>
      <c r="O3" s="17">
        <f>+IF(AND(Resumen!$C$18="SI",Amortizacion!E3=1),SUM($H$2:J3)*25%,0)</f>
        <v>0</v>
      </c>
      <c r="P3" s="1">
        <f>+IF(S3&lt;&gt;0,6,IF(P2=0,0,P2-1))</f>
        <v>5</v>
      </c>
      <c r="Q3" s="17">
        <f>+V2+S3</f>
        <v>1257074.1015907414</v>
      </c>
      <c r="R3" s="17">
        <f t="shared" ref="R3:R66" si="5">+IF(X3="",0,Q3*X3)</f>
        <v>14420.143634148533</v>
      </c>
      <c r="S3" s="17">
        <f>(Resumen!$C$10*(Resumen!$C$24))*C3</f>
        <v>0</v>
      </c>
      <c r="T3" s="21">
        <f t="shared" ref="T3:T66" si="6">+IF(X3="",0,IFERROR(PMT(X3,P3,-Q3),0))</f>
        <v>260132.69268164982</v>
      </c>
      <c r="U3" s="17">
        <f t="shared" ref="U3:U66" si="7">+IFERROR(T3-R3,0)</f>
        <v>245712.54904750129</v>
      </c>
      <c r="V3" s="17">
        <f t="shared" ref="V3:V66" si="8">+Q3-U3</f>
        <v>1011361.5525432401</v>
      </c>
      <c r="W3" s="17">
        <f>+N3+V3</f>
        <v>4591659.9325432405</v>
      </c>
      <c r="X3" s="15">
        <f>+IF(B3="","",Resumen!$C$34)</f>
        <v>1.147119618159409E-2</v>
      </c>
      <c r="Y3" s="16">
        <f t="shared" si="1"/>
        <v>0</v>
      </c>
      <c r="Z3" s="20">
        <f t="shared" ref="Z3:Z66" si="9">+T3+K3+M3</f>
        <v>260132.69268164982</v>
      </c>
      <c r="AA3" s="20">
        <f t="shared" ref="AA3:AA66" si="10">+R3+M3+I3</f>
        <v>14420.143634148533</v>
      </c>
      <c r="AB3" s="20">
        <f>+IF(Resumen!$C$8="no",0,W3*((1+10%)^(0.0833333333333333)-1))</f>
        <v>0</v>
      </c>
    </row>
    <row r="4" spans="1:28" x14ac:dyDescent="0.35">
      <c r="A4">
        <f t="shared" ref="A4:A67" si="11">+A3+1</f>
        <v>3</v>
      </c>
      <c r="B4">
        <f>+IF(A4&gt;Resumen!$C$40,"",A4)</f>
        <v>3</v>
      </c>
      <c r="C4" s="1">
        <f>+IFERROR(HLOOKUP($B4,Resumen!$F$3:$AM$10,8,0),0)</f>
        <v>0</v>
      </c>
      <c r="D4" s="1">
        <f>+IFERROR(HLOOKUP($B4,Resumen!$F$3:$AM$12,10),0)</f>
        <v>0</v>
      </c>
      <c r="E4" s="1">
        <f>+IF(B4=Resumen!$C$38*6-6,1,0)</f>
        <v>0</v>
      </c>
      <c r="F4" s="1">
        <f>+IFERROR(HLOOKUP($B4,Resumen!$F$3:$AM$14,12),0)</f>
        <v>0</v>
      </c>
      <c r="G4" s="17">
        <f t="shared" si="2"/>
        <v>3580298.38</v>
      </c>
      <c r="H4" s="17">
        <f>IF(X4="",0,IF(F4=0,ROUND(SUM(J$2:J4)*X4,2),0))</f>
        <v>40149.19</v>
      </c>
      <c r="I4" s="17">
        <f t="shared" si="0"/>
        <v>0</v>
      </c>
      <c r="J4" s="17">
        <f>(Resumen!$C$10*(1-Resumen!$C$24))*C4</f>
        <v>0</v>
      </c>
      <c r="K4" s="17">
        <f>+IF(F4=1,PMT(X4,(Resumen!$C$36+Resumen!$C$26+Resumen!$C$14*6-B4+1),-Amortizacion!G4),0)</f>
        <v>0</v>
      </c>
      <c r="L4" s="17">
        <f t="shared" si="3"/>
        <v>0</v>
      </c>
      <c r="M4" s="17">
        <f>+IF(Resumen!$C$20="no",H4,0)</f>
        <v>0</v>
      </c>
      <c r="N4" s="17">
        <f t="shared" si="4"/>
        <v>3620447.57</v>
      </c>
      <c r="O4" s="17">
        <f>+IF(AND(Resumen!$C$18="SI",Amortizacion!E4=1),SUM($H$2:J4)*25%,0)</f>
        <v>0</v>
      </c>
      <c r="P4" s="1">
        <f t="shared" ref="P4:P67" si="12">+IF(S4&lt;&gt;0,6,IF(P3=0,0,P3-1))</f>
        <v>4</v>
      </c>
      <c r="Q4" s="17">
        <f t="shared" ref="Q4:Q67" si="13">+V3+S4</f>
        <v>1011361.5525432401</v>
      </c>
      <c r="R4" s="17">
        <f t="shared" si="5"/>
        <v>11601.526779745087</v>
      </c>
      <c r="S4" s="17">
        <f>(Resumen!$C$10*(Resumen!$C$24))*C4</f>
        <v>0</v>
      </c>
      <c r="T4" s="21">
        <f t="shared" si="6"/>
        <v>260132.69268164982</v>
      </c>
      <c r="U4" s="17">
        <f t="shared" si="7"/>
        <v>248531.16590190472</v>
      </c>
      <c r="V4" s="17">
        <f t="shared" si="8"/>
        <v>762830.38664133544</v>
      </c>
      <c r="W4" s="17">
        <f t="shared" ref="W4:W67" si="14">+N4+V4</f>
        <v>4383277.956641335</v>
      </c>
      <c r="X4" s="15">
        <f>+IF(B4="","",Resumen!$C$34)</f>
        <v>1.147119618159409E-2</v>
      </c>
      <c r="Y4" s="16">
        <f t="shared" si="1"/>
        <v>0</v>
      </c>
      <c r="Z4" s="20">
        <f t="shared" si="9"/>
        <v>260132.69268164982</v>
      </c>
      <c r="AA4" s="20">
        <f t="shared" si="10"/>
        <v>11601.526779745087</v>
      </c>
      <c r="AB4" s="20">
        <f>+IF(Resumen!$C$8="no",0,W4*((1+10%)^(0.0833333333333333)-1))</f>
        <v>0</v>
      </c>
    </row>
    <row r="5" spans="1:28" x14ac:dyDescent="0.35">
      <c r="A5">
        <f t="shared" si="11"/>
        <v>4</v>
      </c>
      <c r="B5">
        <f>+IF(A5&gt;Resumen!$C$40,"",A5)</f>
        <v>4</v>
      </c>
      <c r="C5" s="1">
        <f>+IFERROR(HLOOKUP($B5,Resumen!$F$3:$AM$10,8,0),0)</f>
        <v>0</v>
      </c>
      <c r="D5" s="1">
        <f>+IFERROR(HLOOKUP($B5,Resumen!$F$3:$AM$12,10),0)</f>
        <v>0</v>
      </c>
      <c r="E5" s="1">
        <f>+IF(B5=Resumen!$C$38*6-6,1,0)</f>
        <v>0</v>
      </c>
      <c r="F5" s="1">
        <f>+IFERROR(HLOOKUP($B5,Resumen!$F$3:$AM$14,12),0)</f>
        <v>0</v>
      </c>
      <c r="G5" s="17">
        <f t="shared" si="2"/>
        <v>3620447.57</v>
      </c>
      <c r="H5" s="17">
        <f>IF(X5="",0,IF(F5=0,ROUND(SUM(J$2:J5)*X5,2),0))</f>
        <v>40149.19</v>
      </c>
      <c r="I5" s="17">
        <f t="shared" si="0"/>
        <v>0</v>
      </c>
      <c r="J5" s="17">
        <f>(Resumen!$C$10*(1-Resumen!$C$24))*C5</f>
        <v>0</v>
      </c>
      <c r="K5" s="17">
        <f>+IF(F5=1,PMT(X5,(Resumen!$C$36+Resumen!$C$26+Resumen!$C$14*6-B5+1),-Amortizacion!G5),0)</f>
        <v>0</v>
      </c>
      <c r="L5" s="17">
        <f t="shared" si="3"/>
        <v>0</v>
      </c>
      <c r="M5" s="17">
        <f>+IF(Resumen!$C$20="no",H5,0)</f>
        <v>0</v>
      </c>
      <c r="N5" s="17">
        <f t="shared" si="4"/>
        <v>3660596.76</v>
      </c>
      <c r="O5" s="17">
        <f>+IF(AND(Resumen!$C$18="SI",Amortizacion!E5=1),SUM($H$2:J5)*25%,0)</f>
        <v>0</v>
      </c>
      <c r="P5" s="1">
        <f t="shared" si="12"/>
        <v>3</v>
      </c>
      <c r="Q5" s="17">
        <f t="shared" si="13"/>
        <v>762830.38664133544</v>
      </c>
      <c r="R5" s="17">
        <f t="shared" si="5"/>
        <v>8750.5770184440298</v>
      </c>
      <c r="S5" s="17">
        <f>(Resumen!$C$10*(Resumen!$C$24))*C5</f>
        <v>0</v>
      </c>
      <c r="T5" s="21">
        <f t="shared" si="6"/>
        <v>260132.69268164985</v>
      </c>
      <c r="U5" s="17">
        <f t="shared" si="7"/>
        <v>251382.11566320583</v>
      </c>
      <c r="V5" s="17">
        <f t="shared" si="8"/>
        <v>511448.27097812959</v>
      </c>
      <c r="W5" s="17">
        <f t="shared" si="14"/>
        <v>4172045.0309781292</v>
      </c>
      <c r="X5" s="15">
        <f>+IF(B5="","",Resumen!$C$34)</f>
        <v>1.147119618159409E-2</v>
      </c>
      <c r="Y5" s="16">
        <f t="shared" si="1"/>
        <v>0</v>
      </c>
      <c r="Z5" s="20">
        <f t="shared" si="9"/>
        <v>260132.69268164985</v>
      </c>
      <c r="AA5" s="20">
        <f t="shared" si="10"/>
        <v>8750.5770184440298</v>
      </c>
      <c r="AB5" s="20">
        <f>+IF(Resumen!$C$8="no",0,W5*((1+10%)^(0.0833333333333333)-1))</f>
        <v>0</v>
      </c>
    </row>
    <row r="6" spans="1:28" x14ac:dyDescent="0.35">
      <c r="A6">
        <f t="shared" si="11"/>
        <v>5</v>
      </c>
      <c r="B6">
        <f>+IF(A6&gt;Resumen!$C$40,"",A6)</f>
        <v>5</v>
      </c>
      <c r="C6" s="1">
        <f>+IFERROR(HLOOKUP($B6,Resumen!$F$3:$AM$10,8,0),0)</f>
        <v>0</v>
      </c>
      <c r="D6" s="1">
        <f>+IFERROR(HLOOKUP($B6,Resumen!$F$3:$AM$12,10),0)</f>
        <v>0</v>
      </c>
      <c r="E6" s="1">
        <f>+IF(B6=Resumen!$C$38*6-6,1,0)</f>
        <v>0</v>
      </c>
      <c r="F6" s="1">
        <f>+IFERROR(HLOOKUP($B6,Resumen!$F$3:$AM$14,12),0)</f>
        <v>0</v>
      </c>
      <c r="G6" s="17">
        <f t="shared" si="2"/>
        <v>3660596.76</v>
      </c>
      <c r="H6" s="17">
        <f>IF(X6="",0,IF(F6=0,ROUND(SUM(J$2:J6)*X6,2),0))</f>
        <v>40149.19</v>
      </c>
      <c r="I6" s="17">
        <f t="shared" si="0"/>
        <v>0</v>
      </c>
      <c r="J6" s="17">
        <f>(Resumen!$C$10*(1-Resumen!$C$24))*C6</f>
        <v>0</v>
      </c>
      <c r="K6" s="17">
        <f>+IF(F6=1,PMT(X6,(Resumen!$C$36+Resumen!$C$26+Resumen!$C$14*6-B6+1),-Amortizacion!G6),0)</f>
        <v>0</v>
      </c>
      <c r="L6" s="17">
        <f t="shared" si="3"/>
        <v>0</v>
      </c>
      <c r="M6" s="17">
        <f>+IF(Resumen!$C$20="no",H6,0)</f>
        <v>0</v>
      </c>
      <c r="N6" s="17">
        <f t="shared" si="4"/>
        <v>3700745.9499999997</v>
      </c>
      <c r="O6" s="17">
        <f>+IF(AND(Resumen!$C$18="SI",Amortizacion!E6=1),SUM($H$2:J6)*25%,0)</f>
        <v>0</v>
      </c>
      <c r="P6" s="1">
        <f t="shared" si="12"/>
        <v>2</v>
      </c>
      <c r="Q6" s="17">
        <f t="shared" si="13"/>
        <v>511448.27097812959</v>
      </c>
      <c r="R6" s="17">
        <f t="shared" si="5"/>
        <v>5866.9234531272195</v>
      </c>
      <c r="S6" s="17">
        <f>(Resumen!$C$10*(Resumen!$C$24))*C6</f>
        <v>0</v>
      </c>
      <c r="T6" s="21">
        <f t="shared" si="6"/>
        <v>260132.69268164982</v>
      </c>
      <c r="U6" s="17">
        <f t="shared" si="7"/>
        <v>254265.76922852261</v>
      </c>
      <c r="V6" s="17">
        <f t="shared" si="8"/>
        <v>257182.50174960698</v>
      </c>
      <c r="W6" s="17">
        <f t="shared" si="14"/>
        <v>3957928.4517496065</v>
      </c>
      <c r="X6" s="15">
        <f>+IF(B6="","",Resumen!$C$34)</f>
        <v>1.147119618159409E-2</v>
      </c>
      <c r="Y6" s="16">
        <f t="shared" si="1"/>
        <v>0</v>
      </c>
      <c r="Z6" s="20">
        <f t="shared" si="9"/>
        <v>260132.69268164982</v>
      </c>
      <c r="AA6" s="20">
        <f t="shared" si="10"/>
        <v>5866.9234531272195</v>
      </c>
      <c r="AB6" s="20">
        <f>+IF(Resumen!$C$8="no",0,W6*((1+10%)^(0.0833333333333333)-1))</f>
        <v>0</v>
      </c>
    </row>
    <row r="7" spans="1:28" x14ac:dyDescent="0.35">
      <c r="A7">
        <f t="shared" si="11"/>
        <v>6</v>
      </c>
      <c r="B7">
        <f>+IF(A7&gt;Resumen!$C$40,"",A7)</f>
        <v>6</v>
      </c>
      <c r="C7" s="1">
        <f>+IFERROR(HLOOKUP($B7,Resumen!$F$3:$AM$10,8,0),0)</f>
        <v>0</v>
      </c>
      <c r="D7" s="1">
        <f>+IFERROR(HLOOKUP($B7,Resumen!$F$3:$AM$12,10),0)</f>
        <v>0</v>
      </c>
      <c r="E7" s="1">
        <f>+IF(B7=Resumen!$C$38*6-6,1,0)</f>
        <v>1</v>
      </c>
      <c r="F7" s="1">
        <f>+IFERROR(HLOOKUP($B7,Resumen!$F$3:$AM$14,12),0)</f>
        <v>0</v>
      </c>
      <c r="G7" s="17">
        <f t="shared" si="2"/>
        <v>3700745.9499999997</v>
      </c>
      <c r="H7" s="17">
        <f>IF(X7="",0,IF(F7=0,ROUND(SUM(J$2:J7)*X7,2),0))</f>
        <v>40149.19</v>
      </c>
      <c r="I7" s="17">
        <f t="shared" si="0"/>
        <v>0</v>
      </c>
      <c r="J7" s="17">
        <f>(Resumen!$C$10*(1-Resumen!$C$24))*C7</f>
        <v>0</v>
      </c>
      <c r="K7" s="17">
        <f>+IF(F7=1,PMT(X7,(Resumen!$C$36+Resumen!$C$26+Resumen!$C$14*6-B7+1),-Amortizacion!G7),0)</f>
        <v>0</v>
      </c>
      <c r="L7" s="17">
        <f t="shared" si="3"/>
        <v>0</v>
      </c>
      <c r="M7" s="17">
        <f>+IF(Resumen!$C$20="no",H7,0)</f>
        <v>0</v>
      </c>
      <c r="N7" s="17">
        <f t="shared" si="4"/>
        <v>3740895.1399999997</v>
      </c>
      <c r="O7" s="17">
        <f>+IF(AND(Resumen!$C$18="SI",Amortizacion!E7=1),SUM($H$2:J7)*25%,0)</f>
        <v>0</v>
      </c>
      <c r="P7" s="1">
        <f t="shared" si="12"/>
        <v>1</v>
      </c>
      <c r="Q7" s="17">
        <f t="shared" si="13"/>
        <v>257182.50174960698</v>
      </c>
      <c r="R7" s="17">
        <f t="shared" si="5"/>
        <v>2950.1909320429068</v>
      </c>
      <c r="S7" s="17">
        <f>(Resumen!$C$10*(Resumen!$C$24))*C7</f>
        <v>0</v>
      </c>
      <c r="T7" s="21">
        <f t="shared" si="6"/>
        <v>260132.69268164985</v>
      </c>
      <c r="U7" s="17">
        <f t="shared" si="7"/>
        <v>257182.50174960695</v>
      </c>
      <c r="V7" s="17">
        <f t="shared" si="8"/>
        <v>0</v>
      </c>
      <c r="W7" s="17">
        <f t="shared" si="14"/>
        <v>3740895.1399999997</v>
      </c>
      <c r="X7" s="15">
        <f>+IF(B7="","",Resumen!$C$34)</f>
        <v>1.147119618159409E-2</v>
      </c>
      <c r="Y7" s="16">
        <f t="shared" si="1"/>
        <v>0</v>
      </c>
      <c r="Z7" s="20">
        <f t="shared" si="9"/>
        <v>260132.69268164985</v>
      </c>
      <c r="AA7" s="20">
        <f t="shared" si="10"/>
        <v>2950.1909320429068</v>
      </c>
      <c r="AB7" s="20">
        <f>+IF(Resumen!$C$8="no",0,W7*((1+10%)^(0.0833333333333333)-1))</f>
        <v>0</v>
      </c>
    </row>
    <row r="8" spans="1:28" x14ac:dyDescent="0.35">
      <c r="A8">
        <f t="shared" si="11"/>
        <v>7</v>
      </c>
      <c r="B8">
        <f>+IF(A8&gt;Resumen!$C$40,"",A8)</f>
        <v>7</v>
      </c>
      <c r="C8" s="1">
        <f>+IFERROR(HLOOKUP($B8,Resumen!$F$3:$AM$10,8,0),0)</f>
        <v>0</v>
      </c>
      <c r="D8" s="1">
        <f>+IFERROR(HLOOKUP($B8,Resumen!$F$3:$AM$12,10),0)</f>
        <v>0</v>
      </c>
      <c r="E8" s="1">
        <f>+IF(B8=Resumen!$C$38*6-6,1,0)</f>
        <v>0</v>
      </c>
      <c r="F8" s="1">
        <f>+IFERROR(HLOOKUP($B8,Resumen!$F$3:$AM$14,12),0)</f>
        <v>1</v>
      </c>
      <c r="G8" s="17">
        <f t="shared" si="2"/>
        <v>3740895.1399999997</v>
      </c>
      <c r="H8" s="17">
        <f>IF(X8="",0,IF(F8=0,ROUND(SUM(J$2:J8)*X8,2),0))</f>
        <v>0</v>
      </c>
      <c r="I8" s="17">
        <f t="shared" si="0"/>
        <v>42912.542045711882</v>
      </c>
      <c r="J8" s="17">
        <f>(Resumen!$C$10*(1-Resumen!$C$24))*C8</f>
        <v>0</v>
      </c>
      <c r="K8" s="17">
        <f>+IF(F8=1,PMT(X8,(Resumen!$C$36+Resumen!$C$26+Resumen!$C$14*6-B8+1),-Amortizacion!G8),0)</f>
        <v>439857.81239545922</v>
      </c>
      <c r="L8" s="17">
        <f t="shared" si="3"/>
        <v>396945.27034974733</v>
      </c>
      <c r="M8" s="17">
        <f>+IF(Resumen!$C$20="no",H8,0)</f>
        <v>0</v>
      </c>
      <c r="N8" s="17">
        <f t="shared" si="4"/>
        <v>3343949.8696502522</v>
      </c>
      <c r="O8" s="17">
        <f>+IF(AND(Resumen!$C$18="SI",Amortizacion!E8=1),SUM($H$2:J8)*25%,0)</f>
        <v>0</v>
      </c>
      <c r="P8" s="1">
        <f t="shared" si="12"/>
        <v>0</v>
      </c>
      <c r="Q8" s="17">
        <f t="shared" si="13"/>
        <v>0</v>
      </c>
      <c r="R8" s="17">
        <f t="shared" si="5"/>
        <v>0</v>
      </c>
      <c r="S8" s="17">
        <f>(Resumen!$C$10*(Resumen!$C$24))*C8</f>
        <v>0</v>
      </c>
      <c r="T8" s="21">
        <f t="shared" si="6"/>
        <v>0</v>
      </c>
      <c r="U8" s="17">
        <f t="shared" si="7"/>
        <v>0</v>
      </c>
      <c r="V8" s="17">
        <f t="shared" si="8"/>
        <v>0</v>
      </c>
      <c r="W8" s="17">
        <f t="shared" si="14"/>
        <v>3343949.8696502522</v>
      </c>
      <c r="X8" s="15">
        <f>+IF(B8="","",Resumen!$C$34)</f>
        <v>1.147119618159409E-2</v>
      </c>
      <c r="Y8" s="16">
        <f t="shared" si="1"/>
        <v>0</v>
      </c>
      <c r="Z8" s="20">
        <f t="shared" si="9"/>
        <v>439857.81239545922</v>
      </c>
      <c r="AA8" s="20">
        <f t="shared" si="10"/>
        <v>42912.542045711882</v>
      </c>
      <c r="AB8" s="20">
        <f>+IF(Resumen!$C$8="no",0,W8*((1+10%)^(0.0833333333333333)-1))</f>
        <v>0</v>
      </c>
    </row>
    <row r="9" spans="1:28" x14ac:dyDescent="0.35">
      <c r="A9">
        <f t="shared" si="11"/>
        <v>8</v>
      </c>
      <c r="B9">
        <f>+IF(A9&gt;Resumen!$C$40,"",A9)</f>
        <v>8</v>
      </c>
      <c r="C9" s="1">
        <f>+IFERROR(HLOOKUP($B9,Resumen!$F$3:$AM$10,8,0),0)</f>
        <v>0</v>
      </c>
      <c r="D9" s="1">
        <f>+IFERROR(HLOOKUP($B9,Resumen!$F$3:$AM$12,10),0)</f>
        <v>0</v>
      </c>
      <c r="E9" s="1">
        <f>+IF(B9=Resumen!$C$38*6-6,1,0)</f>
        <v>0</v>
      </c>
      <c r="F9" s="1">
        <f>+IFERROR(HLOOKUP($B9,Resumen!$F$3:$AM$14,12),0)</f>
        <v>1</v>
      </c>
      <c r="G9" s="17">
        <f>+N8-O8</f>
        <v>3343949.8696502522</v>
      </c>
      <c r="H9" s="17">
        <f>IF(X9="",0,IF(F9=0,ROUND(SUM(J$2:J9)*X9,2),0))</f>
        <v>0</v>
      </c>
      <c r="I9" s="17">
        <f t="shared" si="0"/>
        <v>38359.104976174029</v>
      </c>
      <c r="J9" s="17">
        <f>(Resumen!$C$10*(1-Resumen!$C$24))*C9</f>
        <v>0</v>
      </c>
      <c r="K9" s="17">
        <f>+IF(F9=1,PMT(X9,(Resumen!$C$36+Resumen!$C$26+Resumen!$C$14*6-B9+1),-Amortizacion!G9),0)</f>
        <v>439857.81239545933</v>
      </c>
      <c r="L9" s="17">
        <f t="shared" si="3"/>
        <v>401498.70741928532</v>
      </c>
      <c r="M9" s="17">
        <f>+IF(Resumen!$C$20="no",H9,0)</f>
        <v>0</v>
      </c>
      <c r="N9" s="17">
        <f t="shared" si="4"/>
        <v>2942451.1622309666</v>
      </c>
      <c r="O9" s="17">
        <f>+IF(AND(Resumen!$C$18="SI",Amortizacion!E9=1),SUM($H$2:J9)*25%,0)</f>
        <v>0</v>
      </c>
      <c r="P9" s="1">
        <f t="shared" si="12"/>
        <v>0</v>
      </c>
      <c r="Q9" s="17">
        <f t="shared" si="13"/>
        <v>0</v>
      </c>
      <c r="R9" s="17">
        <f t="shared" si="5"/>
        <v>0</v>
      </c>
      <c r="S9" s="17">
        <f>(Resumen!$C$10*(Resumen!$C$24))*C9</f>
        <v>0</v>
      </c>
      <c r="T9" s="21">
        <f t="shared" si="6"/>
        <v>0</v>
      </c>
      <c r="U9" s="17">
        <f t="shared" si="7"/>
        <v>0</v>
      </c>
      <c r="V9" s="17">
        <f t="shared" si="8"/>
        <v>0</v>
      </c>
      <c r="W9" s="17">
        <f t="shared" si="14"/>
        <v>2942451.1622309666</v>
      </c>
      <c r="X9" s="15">
        <f>+IF(B9="","",Resumen!$C$34)</f>
        <v>1.147119618159409E-2</v>
      </c>
      <c r="Y9" s="16">
        <f t="shared" si="1"/>
        <v>0</v>
      </c>
      <c r="Z9" s="20">
        <f t="shared" si="9"/>
        <v>439857.81239545933</v>
      </c>
      <c r="AA9" s="20">
        <f t="shared" si="10"/>
        <v>38359.104976174029</v>
      </c>
      <c r="AB9" s="20">
        <f>+IF(Resumen!$C$8="no",0,W9*((1+10%)^(0.0833333333333333)-1))</f>
        <v>0</v>
      </c>
    </row>
    <row r="10" spans="1:28" x14ac:dyDescent="0.35">
      <c r="A10">
        <f t="shared" si="11"/>
        <v>9</v>
      </c>
      <c r="B10">
        <f>+IF(A10&gt;Resumen!$C$40,"",A10)</f>
        <v>9</v>
      </c>
      <c r="C10" s="1">
        <f>+IFERROR(HLOOKUP($B10,Resumen!$F$3:$AM$10,8,0),0)</f>
        <v>0</v>
      </c>
      <c r="D10" s="1">
        <f>+IFERROR(HLOOKUP($B10,Resumen!$F$3:$AM$12,10),0)</f>
        <v>0</v>
      </c>
      <c r="E10" s="1">
        <f>+IF(B10=Resumen!$C$38*6-6,1,0)</f>
        <v>0</v>
      </c>
      <c r="F10" s="1">
        <f>+IFERROR(HLOOKUP($B10,Resumen!$F$3:$AM$14,12),0)</f>
        <v>1</v>
      </c>
      <c r="G10" s="17">
        <f t="shared" ref="G10:G73" si="15">+N9-O9</f>
        <v>2942451.1622309666</v>
      </c>
      <c r="H10" s="17">
        <f>IF(X10="",0,IF(F10=0,ROUND(SUM(J$2:J10)*X10,2),0))</f>
        <v>0</v>
      </c>
      <c r="I10" s="17">
        <f t="shared" si="0"/>
        <v>33753.434536710956</v>
      </c>
      <c r="J10" s="17">
        <f>(Resumen!$C$10*(1-Resumen!$C$24))*C10</f>
        <v>0</v>
      </c>
      <c r="K10" s="17">
        <f>+IF(F10=1,PMT(X10,(Resumen!$C$36+Resumen!$C$26+Resumen!$C$14*6-B10+1),-Amortizacion!G10),0)</f>
        <v>439857.81239545933</v>
      </c>
      <c r="L10" s="17">
        <f t="shared" si="3"/>
        <v>406104.37785874837</v>
      </c>
      <c r="M10" s="17">
        <f>+IF(Resumen!$C$20="no",H10,0)</f>
        <v>0</v>
      </c>
      <c r="N10" s="17">
        <f t="shared" si="4"/>
        <v>2536346.7843722184</v>
      </c>
      <c r="O10" s="17">
        <f>+IF(AND(Resumen!$C$18="SI",Amortizacion!E10=1),SUM($H$2:J10)*25%,0)</f>
        <v>0</v>
      </c>
      <c r="P10" s="1">
        <f t="shared" si="12"/>
        <v>0</v>
      </c>
      <c r="Q10" s="17">
        <f t="shared" si="13"/>
        <v>0</v>
      </c>
      <c r="R10" s="17">
        <f t="shared" si="5"/>
        <v>0</v>
      </c>
      <c r="S10" s="17">
        <f>(Resumen!$C$10*(Resumen!$C$24))*C10</f>
        <v>0</v>
      </c>
      <c r="T10" s="21">
        <f t="shared" si="6"/>
        <v>0</v>
      </c>
      <c r="U10" s="17">
        <f t="shared" si="7"/>
        <v>0</v>
      </c>
      <c r="V10" s="17">
        <f t="shared" si="8"/>
        <v>0</v>
      </c>
      <c r="W10" s="17">
        <f t="shared" si="14"/>
        <v>2536346.7843722184</v>
      </c>
      <c r="X10" s="15">
        <f>+IF(B10="","",Resumen!$C$34)</f>
        <v>1.147119618159409E-2</v>
      </c>
      <c r="Y10" s="16">
        <f t="shared" si="1"/>
        <v>0</v>
      </c>
      <c r="Z10" s="20">
        <f t="shared" si="9"/>
        <v>439857.81239545933</v>
      </c>
      <c r="AA10" s="20">
        <f t="shared" si="10"/>
        <v>33753.434536710956</v>
      </c>
      <c r="AB10" s="20">
        <f>+IF(Resumen!$C$8="no",0,W10*((1+10%)^(0.0833333333333333)-1))</f>
        <v>0</v>
      </c>
    </row>
    <row r="11" spans="1:28" x14ac:dyDescent="0.35">
      <c r="A11">
        <f t="shared" si="11"/>
        <v>10</v>
      </c>
      <c r="B11">
        <f>+IF(A11&gt;Resumen!$C$40,"",A11)</f>
        <v>10</v>
      </c>
      <c r="C11" s="1">
        <f>+IFERROR(HLOOKUP($B11,Resumen!$F$3:$AM$10,8,0),0)</f>
        <v>0</v>
      </c>
      <c r="D11" s="1">
        <f>+IFERROR(HLOOKUP($B11,Resumen!$F$3:$AM$12,10),0)</f>
        <v>0</v>
      </c>
      <c r="E11" s="1">
        <f>+IF(B11=Resumen!$C$38*6-6,1,0)</f>
        <v>0</v>
      </c>
      <c r="F11" s="1">
        <f>+IFERROR(HLOOKUP($B11,Resumen!$F$3:$AM$14,12),0)</f>
        <v>1</v>
      </c>
      <c r="G11" s="17">
        <f t="shared" si="15"/>
        <v>2536346.7843722184</v>
      </c>
      <c r="H11" s="17">
        <f>IF(X11="",0,IF(F11=0,ROUND(SUM(J$2:J11)*X11,2),0))</f>
        <v>0</v>
      </c>
      <c r="I11" s="17">
        <f t="shared" si="0"/>
        <v>29094.93154808904</v>
      </c>
      <c r="J11" s="17">
        <f>(Resumen!$C$10*(1-Resumen!$C$24))*C11</f>
        <v>0</v>
      </c>
      <c r="K11" s="17">
        <f>+IF(F11=1,PMT(X11,(Resumen!$C$36+Resumen!$C$26+Resumen!$C$14*6-B11+1),-Amortizacion!G11),0)</f>
        <v>439857.81239545933</v>
      </c>
      <c r="L11" s="17">
        <f t="shared" si="3"/>
        <v>410762.88084737031</v>
      </c>
      <c r="M11" s="17">
        <f>+IF(Resumen!$C$20="no",H11,0)</f>
        <v>0</v>
      </c>
      <c r="N11" s="17">
        <f t="shared" si="4"/>
        <v>2125583.9035248482</v>
      </c>
      <c r="O11" s="17">
        <f>+IF(AND(Resumen!$C$18="SI",Amortizacion!E11=1),SUM($H$2:J11)*25%,0)</f>
        <v>0</v>
      </c>
      <c r="P11" s="1">
        <f t="shared" si="12"/>
        <v>0</v>
      </c>
      <c r="Q11" s="17">
        <f t="shared" si="13"/>
        <v>0</v>
      </c>
      <c r="R11" s="17">
        <f t="shared" si="5"/>
        <v>0</v>
      </c>
      <c r="S11" s="17">
        <f>(Resumen!$C$10*(Resumen!$C$24))*C11</f>
        <v>0</v>
      </c>
      <c r="T11" s="21">
        <f t="shared" si="6"/>
        <v>0</v>
      </c>
      <c r="U11" s="17">
        <f t="shared" si="7"/>
        <v>0</v>
      </c>
      <c r="V11" s="17">
        <f t="shared" si="8"/>
        <v>0</v>
      </c>
      <c r="W11" s="17">
        <f t="shared" si="14"/>
        <v>2125583.9035248482</v>
      </c>
      <c r="X11" s="15">
        <f>+IF(B11="","",Resumen!$C$34)</f>
        <v>1.147119618159409E-2</v>
      </c>
      <c r="Y11" s="16">
        <f t="shared" si="1"/>
        <v>0</v>
      </c>
      <c r="Z11" s="20">
        <f t="shared" si="9"/>
        <v>439857.81239545933</v>
      </c>
      <c r="AA11" s="20">
        <f t="shared" si="10"/>
        <v>29094.93154808904</v>
      </c>
      <c r="AB11" s="20">
        <f>+IF(Resumen!$C$8="no",0,W11*((1+10%)^(0.0833333333333333)-1))</f>
        <v>0</v>
      </c>
    </row>
    <row r="12" spans="1:28" x14ac:dyDescent="0.35">
      <c r="A12">
        <f t="shared" si="11"/>
        <v>11</v>
      </c>
      <c r="B12">
        <f>+IF(A12&gt;Resumen!$C$40,"",A12)</f>
        <v>11</v>
      </c>
      <c r="C12" s="1">
        <f>+IFERROR(HLOOKUP($B12,Resumen!$F$3:$AM$10,8,0),0)</f>
        <v>0</v>
      </c>
      <c r="D12" s="1">
        <f>+IFERROR(HLOOKUP($B12,Resumen!$F$3:$AM$12,10),0)</f>
        <v>0</v>
      </c>
      <c r="E12" s="1">
        <f>+IF(B12=Resumen!$C$38*6-6,1,0)</f>
        <v>0</v>
      </c>
      <c r="F12" s="1">
        <f>+IFERROR(HLOOKUP($B12,Resumen!$F$3:$AM$14,12),0)</f>
        <v>1</v>
      </c>
      <c r="G12" s="17">
        <f t="shared" si="15"/>
        <v>2125583.9035248482</v>
      </c>
      <c r="H12" s="17">
        <f>IF(X12="",0,IF(F12=0,ROUND(SUM(J$2:J12)*X12,2),0))</f>
        <v>0</v>
      </c>
      <c r="I12" s="17">
        <f t="shared" si="0"/>
        <v>24382.989957772097</v>
      </c>
      <c r="J12" s="17">
        <f>(Resumen!$C$10*(1-Resumen!$C$24))*C12</f>
        <v>0</v>
      </c>
      <c r="K12" s="17">
        <f>+IF(F12=1,PMT(X12,(Resumen!$C$36+Resumen!$C$26+Resumen!$C$14*6-B12+1),-Amortizacion!G12),0)</f>
        <v>439857.81239545933</v>
      </c>
      <c r="L12" s="17">
        <f t="shared" si="3"/>
        <v>415474.82243768725</v>
      </c>
      <c r="M12" s="17">
        <f>+IF(Resumen!$C$20="no",H12,0)</f>
        <v>0</v>
      </c>
      <c r="N12" s="17">
        <f t="shared" si="4"/>
        <v>1710109.0810871609</v>
      </c>
      <c r="O12" s="17">
        <f>+IF(AND(Resumen!$C$18="SI",Amortizacion!E12=1),SUM($H$2:J12)*25%,0)</f>
        <v>0</v>
      </c>
      <c r="P12" s="1">
        <f t="shared" si="12"/>
        <v>0</v>
      </c>
      <c r="Q12" s="17">
        <f t="shared" si="13"/>
        <v>0</v>
      </c>
      <c r="R12" s="17">
        <f t="shared" si="5"/>
        <v>0</v>
      </c>
      <c r="S12" s="17">
        <f>(Resumen!$C$10*(Resumen!$C$24))*C12</f>
        <v>0</v>
      </c>
      <c r="T12" s="21">
        <f t="shared" si="6"/>
        <v>0</v>
      </c>
      <c r="U12" s="17">
        <f t="shared" si="7"/>
        <v>0</v>
      </c>
      <c r="V12" s="17">
        <f t="shared" si="8"/>
        <v>0</v>
      </c>
      <c r="W12" s="17">
        <f t="shared" si="14"/>
        <v>1710109.0810871609</v>
      </c>
      <c r="X12" s="15">
        <f>+IF(B12="","",Resumen!$C$34)</f>
        <v>1.147119618159409E-2</v>
      </c>
      <c r="Y12" s="16">
        <f t="shared" si="1"/>
        <v>0</v>
      </c>
      <c r="Z12" s="20">
        <f t="shared" si="9"/>
        <v>439857.81239545933</v>
      </c>
      <c r="AA12" s="20">
        <f t="shared" si="10"/>
        <v>24382.989957772097</v>
      </c>
      <c r="AB12" s="20">
        <f>+IF(Resumen!$C$8="no",0,W12*((1+10%)^(0.0833333333333333)-1))</f>
        <v>0</v>
      </c>
    </row>
    <row r="13" spans="1:28" x14ac:dyDescent="0.35">
      <c r="A13">
        <f t="shared" si="11"/>
        <v>12</v>
      </c>
      <c r="B13">
        <f>+IF(A13&gt;Resumen!$C$40,"",A13)</f>
        <v>12</v>
      </c>
      <c r="C13" s="1">
        <f>+IFERROR(HLOOKUP($B13,Resumen!$F$3:$AM$10,8,0),0)</f>
        <v>0</v>
      </c>
      <c r="D13" s="1">
        <f>+IFERROR(HLOOKUP($B13,Resumen!$F$3:$AM$12,10),0)</f>
        <v>0</v>
      </c>
      <c r="E13" s="1">
        <f>+IF(B13=Resumen!$C$38*6-6,1,0)</f>
        <v>0</v>
      </c>
      <c r="F13" s="1">
        <f>+IFERROR(HLOOKUP($B13,Resumen!$F$3:$AM$14,12),0)</f>
        <v>1</v>
      </c>
      <c r="G13" s="17">
        <f t="shared" si="15"/>
        <v>1710109.0810871609</v>
      </c>
      <c r="H13" s="17">
        <f>IF(X13="",0,IF(F13=0,ROUND(SUM(J$2:J13)*X13,2),0))</f>
        <v>0</v>
      </c>
      <c r="I13" s="17">
        <f t="shared" si="0"/>
        <v>19616.996761076418</v>
      </c>
      <c r="J13" s="17">
        <f>(Resumen!$C$10*(1-Resumen!$C$24))*C13</f>
        <v>0</v>
      </c>
      <c r="K13" s="17">
        <f>+IF(F13=1,PMT(X13,(Resumen!$C$36+Resumen!$C$26+Resumen!$C$14*6-B13+1),-Amortizacion!G13),0)</f>
        <v>439857.81239545933</v>
      </c>
      <c r="L13" s="17">
        <f t="shared" si="3"/>
        <v>420240.81563438289</v>
      </c>
      <c r="M13" s="17">
        <f>+IF(Resumen!$C$20="no",H13,0)</f>
        <v>0</v>
      </c>
      <c r="N13" s="17">
        <f t="shared" si="4"/>
        <v>1289868.265452778</v>
      </c>
      <c r="O13" s="17">
        <f>+IF(AND(Resumen!$C$18="SI",Amortizacion!E13=1),SUM($H$2:J13)*25%,0)</f>
        <v>0</v>
      </c>
      <c r="P13" s="1">
        <f t="shared" si="12"/>
        <v>0</v>
      </c>
      <c r="Q13" s="17">
        <f t="shared" si="13"/>
        <v>0</v>
      </c>
      <c r="R13" s="17">
        <f t="shared" si="5"/>
        <v>0</v>
      </c>
      <c r="S13" s="17">
        <f>(Resumen!$C$10*(Resumen!$C$24))*$C13</f>
        <v>0</v>
      </c>
      <c r="T13" s="21">
        <f t="shared" si="6"/>
        <v>0</v>
      </c>
      <c r="U13" s="17">
        <f t="shared" si="7"/>
        <v>0</v>
      </c>
      <c r="V13" s="17">
        <f t="shared" si="8"/>
        <v>0</v>
      </c>
      <c r="W13" s="17">
        <f t="shared" si="14"/>
        <v>1289868.265452778</v>
      </c>
      <c r="X13" s="15">
        <f>+IF(B13="","",Resumen!$C$34)</f>
        <v>1.147119618159409E-2</v>
      </c>
      <c r="Y13" s="16">
        <f t="shared" si="1"/>
        <v>0</v>
      </c>
      <c r="Z13" s="20">
        <f t="shared" si="9"/>
        <v>439857.81239545933</v>
      </c>
      <c r="AA13" s="20">
        <f t="shared" si="10"/>
        <v>19616.996761076418</v>
      </c>
      <c r="AB13" s="20">
        <f>+IF(Resumen!$C$8="no",0,W13*((1+10%)^(0.0833333333333333)-1))</f>
        <v>0</v>
      </c>
    </row>
    <row r="14" spans="1:28" x14ac:dyDescent="0.35">
      <c r="A14">
        <f t="shared" si="11"/>
        <v>13</v>
      </c>
      <c r="B14">
        <f>+IF(A14&gt;Resumen!$C$40,"",A14)</f>
        <v>13</v>
      </c>
      <c r="C14" s="1">
        <f>+IFERROR(HLOOKUP($B14,Resumen!$F$3:$AM$10,8,0),0)</f>
        <v>0</v>
      </c>
      <c r="D14" s="1">
        <f>+IFERROR(HLOOKUP($B14,Resumen!$F$3:$AM$12,10),0)</f>
        <v>0</v>
      </c>
      <c r="E14" s="1">
        <f>+IF(B14=Resumen!$C$38*6-6,1,0)</f>
        <v>0</v>
      </c>
      <c r="F14" s="1">
        <f>+IFERROR(HLOOKUP($B14,Resumen!$F$3:$AM$14,12),0)</f>
        <v>1</v>
      </c>
      <c r="G14" s="17">
        <f t="shared" si="15"/>
        <v>1289868.265452778</v>
      </c>
      <c r="H14" s="17">
        <f>IF(X14="",0,IF(F14=0,ROUND(SUM(J$2:J14)*X14,2),0))</f>
        <v>0</v>
      </c>
      <c r="I14" s="17">
        <f t="shared" si="0"/>
        <v>14796.331921421299</v>
      </c>
      <c r="J14" s="17">
        <f>(Resumen!$C$10*(1-Resumen!$C$24)*(1+Incmat))*C14</f>
        <v>0</v>
      </c>
      <c r="K14" s="17">
        <f>+IF(F14=1,PMT(X14,(Resumen!$C$36+Resumen!$C$26+Resumen!$C$14*6-B14+1),-Amortizacion!G14),0)</f>
        <v>439857.81239545933</v>
      </c>
      <c r="L14" s="17">
        <f t="shared" si="3"/>
        <v>425061.48047403805</v>
      </c>
      <c r="M14" s="17">
        <f>+IF(Resumen!$C$20="no",H14,0)</f>
        <v>0</v>
      </c>
      <c r="N14" s="17">
        <f t="shared" si="4"/>
        <v>864806.78497873992</v>
      </c>
      <c r="O14" s="17">
        <f>+IF(AND(Resumen!$C$18="SI",Amortizacion!E14=1),SUM($H$2:J14)*25%,0)</f>
        <v>0</v>
      </c>
      <c r="P14" s="1">
        <f t="shared" si="12"/>
        <v>0</v>
      </c>
      <c r="Q14" s="17">
        <f t="shared" si="13"/>
        <v>0</v>
      </c>
      <c r="R14" s="17">
        <f t="shared" si="5"/>
        <v>0</v>
      </c>
      <c r="S14" s="17">
        <f>(Resumen!$C$10*(Resumen!$C$24)*(1+Incmat))*$C14</f>
        <v>0</v>
      </c>
      <c r="T14" s="21">
        <f t="shared" si="6"/>
        <v>0</v>
      </c>
      <c r="U14" s="17">
        <f t="shared" si="7"/>
        <v>0</v>
      </c>
      <c r="V14" s="17">
        <f t="shared" si="8"/>
        <v>0</v>
      </c>
      <c r="W14" s="17">
        <f t="shared" si="14"/>
        <v>864806.78497873992</v>
      </c>
      <c r="X14" s="15">
        <f>+IF(B14="","",Resumen!$C$34)</f>
        <v>1.147119618159409E-2</v>
      </c>
      <c r="Y14" s="16">
        <f t="shared" si="1"/>
        <v>0</v>
      </c>
      <c r="Z14" s="20">
        <f t="shared" si="9"/>
        <v>439857.81239545933</v>
      </c>
      <c r="AA14" s="20">
        <f t="shared" si="10"/>
        <v>14796.331921421299</v>
      </c>
      <c r="AB14" s="20">
        <f>+IF(Resumen!$C$8="no",0,W14*((1+10%)^(0.0833333333333333)-1))</f>
        <v>0</v>
      </c>
    </row>
    <row r="15" spans="1:28" x14ac:dyDescent="0.35">
      <c r="A15">
        <f t="shared" si="11"/>
        <v>14</v>
      </c>
      <c r="B15">
        <f>+IF(A15&gt;Resumen!$C$40,"",A15)</f>
        <v>14</v>
      </c>
      <c r="C15" s="1">
        <f>+IFERROR(HLOOKUP($B15,Resumen!$F$3:$AM$10,8,0),0)</f>
        <v>0</v>
      </c>
      <c r="D15" s="1">
        <f>+IFERROR(HLOOKUP($B15,Resumen!$F$3:$AM$12,10),0)</f>
        <v>0</v>
      </c>
      <c r="E15" s="1">
        <f>+IF(B15=Resumen!$C$38*6-6,1,0)</f>
        <v>0</v>
      </c>
      <c r="F15" s="1">
        <f>+IFERROR(HLOOKUP($B15,Resumen!$F$3:$AM$14,12),0)</f>
        <v>1</v>
      </c>
      <c r="G15" s="17">
        <f t="shared" si="15"/>
        <v>864806.78497873992</v>
      </c>
      <c r="H15" s="17">
        <f>IF(X15="",0,IF(F15=0,ROUND(SUM(J$2:J15)*X15,2),0))</f>
        <v>0</v>
      </c>
      <c r="I15" s="17">
        <f t="shared" si="0"/>
        <v>9920.3682896647824</v>
      </c>
      <c r="J15" s="17">
        <f>(Resumen!$C$10*(1-Resumen!$C$24)*(1+Incmat))*C15</f>
        <v>0</v>
      </c>
      <c r="K15" s="17">
        <f>+IF(F15=1,PMT(X15,(Resumen!$C$36+Resumen!$C$26+Resumen!$C$14*6-B15+1),-Amortizacion!G15),0)</f>
        <v>439857.81239545933</v>
      </c>
      <c r="L15" s="17">
        <f t="shared" si="3"/>
        <v>429937.44410579454</v>
      </c>
      <c r="M15" s="17">
        <f>+IF(Resumen!$C$20="no",H15,0)</f>
        <v>0</v>
      </c>
      <c r="N15" s="17">
        <f t="shared" si="4"/>
        <v>434869.34087294538</v>
      </c>
      <c r="O15" s="17">
        <f>+IF(AND(Resumen!$C$18="SI",Amortizacion!E15=1),SUM($H$2:J15)*25%,0)</f>
        <v>0</v>
      </c>
      <c r="P15" s="1">
        <f t="shared" si="12"/>
        <v>0</v>
      </c>
      <c r="Q15" s="17">
        <f t="shared" si="13"/>
        <v>0</v>
      </c>
      <c r="R15" s="17">
        <f t="shared" si="5"/>
        <v>0</v>
      </c>
      <c r="S15" s="17">
        <f>(Resumen!$C$10*(Resumen!$C$24)*(1+Incmat))*$C15</f>
        <v>0</v>
      </c>
      <c r="T15" s="21">
        <f t="shared" si="6"/>
        <v>0</v>
      </c>
      <c r="U15" s="17">
        <f t="shared" si="7"/>
        <v>0</v>
      </c>
      <c r="V15" s="17">
        <f t="shared" si="8"/>
        <v>0</v>
      </c>
      <c r="W15" s="17">
        <f t="shared" si="14"/>
        <v>434869.34087294538</v>
      </c>
      <c r="X15" s="15">
        <f>+IF(B15="","",Resumen!$C$34)</f>
        <v>1.147119618159409E-2</v>
      </c>
      <c r="Y15" s="16">
        <f t="shared" si="1"/>
        <v>0</v>
      </c>
      <c r="Z15" s="20">
        <f t="shared" si="9"/>
        <v>439857.81239545933</v>
      </c>
      <c r="AA15" s="20">
        <f t="shared" si="10"/>
        <v>9920.3682896647824</v>
      </c>
      <c r="AB15" s="20">
        <f>+IF(Resumen!$C$8="no",0,W15*((1+10%)^(0.0833333333333333)-1))</f>
        <v>0</v>
      </c>
    </row>
    <row r="16" spans="1:28" x14ac:dyDescent="0.35">
      <c r="A16">
        <f t="shared" si="11"/>
        <v>15</v>
      </c>
      <c r="B16">
        <f>+IF(A16&gt;Resumen!$C$40,"",A16)</f>
        <v>15</v>
      </c>
      <c r="C16" s="1">
        <f>+IFERROR(HLOOKUP($B16,Resumen!$F$3:$AM$10,8,0),0)</f>
        <v>0</v>
      </c>
      <c r="D16" s="1">
        <f>+IFERROR(HLOOKUP($B16,Resumen!$F$3:$AM$12,10),0)</f>
        <v>0</v>
      </c>
      <c r="E16" s="1">
        <f>+IF(B16=Resumen!$C$38*6-6,1,0)</f>
        <v>0</v>
      </c>
      <c r="F16" s="1">
        <f>+IFERROR(HLOOKUP($B16,Resumen!$F$3:$AM$14,12),0)</f>
        <v>1</v>
      </c>
      <c r="G16" s="17">
        <f t="shared" si="15"/>
        <v>434869.34087294538</v>
      </c>
      <c r="H16" s="17">
        <f>IF(X16="",0,IF(F16=0,ROUND(SUM(J$2:J16)*X16,2),0))</f>
        <v>0</v>
      </c>
      <c r="I16" s="17">
        <f t="shared" si="0"/>
        <v>4988.4715225140699</v>
      </c>
      <c r="J16" s="17">
        <f>(Resumen!$C$10*(1-Resumen!$C$24)*(1+Incmat))*C16</f>
        <v>0</v>
      </c>
      <c r="K16" s="17">
        <f>+IF(F16=1,PMT(X16,(Resumen!$C$36+Resumen!$C$26+Resumen!$C$14*6-B16+1),-Amortizacion!G16),0)</f>
        <v>439857.81239545939</v>
      </c>
      <c r="L16" s="17">
        <f t="shared" si="3"/>
        <v>434869.34087294532</v>
      </c>
      <c r="M16" s="17">
        <f>+IF(Resumen!$C$20="no",H16,0)</f>
        <v>0</v>
      </c>
      <c r="N16" s="17">
        <f t="shared" si="4"/>
        <v>5.8207660913467407E-11</v>
      </c>
      <c r="O16" s="17">
        <f>+IF(AND(Resumen!$C$18="SI",Amortizacion!E16=1),SUM($H$2:J16)*25%,0)</f>
        <v>0</v>
      </c>
      <c r="P16" s="1">
        <f t="shared" si="12"/>
        <v>0</v>
      </c>
      <c r="Q16" s="17">
        <f t="shared" si="13"/>
        <v>0</v>
      </c>
      <c r="R16" s="17">
        <f t="shared" si="5"/>
        <v>0</v>
      </c>
      <c r="S16" s="17">
        <f>(Resumen!$C$10*(Resumen!$C$24)*(1+Incmat))*$C16</f>
        <v>0</v>
      </c>
      <c r="T16" s="21">
        <f t="shared" si="6"/>
        <v>0</v>
      </c>
      <c r="U16" s="17">
        <f t="shared" si="7"/>
        <v>0</v>
      </c>
      <c r="V16" s="17">
        <f t="shared" si="8"/>
        <v>0</v>
      </c>
      <c r="W16" s="17">
        <f t="shared" si="14"/>
        <v>5.8207660913467407E-11</v>
      </c>
      <c r="X16" s="15">
        <f>+IF(B16="","",Resumen!$C$34)</f>
        <v>1.147119618159409E-2</v>
      </c>
      <c r="Y16" s="16">
        <f t="shared" si="1"/>
        <v>0</v>
      </c>
      <c r="Z16" s="20">
        <f t="shared" si="9"/>
        <v>439857.81239545939</v>
      </c>
      <c r="AA16" s="20">
        <f t="shared" si="10"/>
        <v>4988.4715225140699</v>
      </c>
      <c r="AB16" s="20">
        <f>+IF(Resumen!$C$8="no",0,W16*((1+10%)^(0.0833333333333333)-1))</f>
        <v>0</v>
      </c>
    </row>
    <row r="17" spans="1:28" x14ac:dyDescent="0.35">
      <c r="A17">
        <f t="shared" si="11"/>
        <v>16</v>
      </c>
      <c r="B17" t="str">
        <f>+IF(A17&gt;Resumen!$C$40,"",A17)</f>
        <v/>
      </c>
      <c r="C17" s="1">
        <f>+IFERROR(HLOOKUP($B17,Resumen!$F$3:$AM$10,8,0),0)</f>
        <v>0</v>
      </c>
      <c r="D17" s="1">
        <f>+IFERROR(HLOOKUP($B17,Resumen!$F$3:$AM$12,10),0)</f>
        <v>0</v>
      </c>
      <c r="E17" s="1">
        <f>+IF(B17=Resumen!$C$38*6-6,1,0)</f>
        <v>0</v>
      </c>
      <c r="F17" s="1">
        <f>+IFERROR(HLOOKUP($B17,Resumen!$F$3:$AM$14,12),0)</f>
        <v>0</v>
      </c>
      <c r="G17" s="17">
        <f t="shared" si="15"/>
        <v>5.8207660913467407E-11</v>
      </c>
      <c r="H17" s="17">
        <f>IF(X17="",0,IF(F17=0,ROUND(SUM(J$2:J17)*X17,2),0))</f>
        <v>0</v>
      </c>
      <c r="I17" s="17">
        <f t="shared" si="0"/>
        <v>0</v>
      </c>
      <c r="J17" s="17">
        <f>(Resumen!$C$10*(1-Resumen!$C$24)*(1+Incmat))*C17</f>
        <v>0</v>
      </c>
      <c r="K17" s="17">
        <f>+IF(F17=1,PMT(X17,(Resumen!$C$36+Resumen!$C$26+Resumen!$C$14*6-B17+1),-Amortizacion!G17),0)</f>
        <v>0</v>
      </c>
      <c r="L17" s="17">
        <f t="shared" si="3"/>
        <v>0</v>
      </c>
      <c r="M17" s="17">
        <f>+IF(Resumen!$C$20="no",H17,0)</f>
        <v>0</v>
      </c>
      <c r="N17" s="17">
        <f t="shared" si="4"/>
        <v>5.8207660913467407E-11</v>
      </c>
      <c r="O17" s="17">
        <f>+IF(AND(Resumen!$C$18="SI",Amortizacion!E17=1),SUM($H$2:J17)*25%,0)</f>
        <v>0</v>
      </c>
      <c r="P17" s="1">
        <f t="shared" si="12"/>
        <v>0</v>
      </c>
      <c r="Q17" s="17">
        <f t="shared" si="13"/>
        <v>0</v>
      </c>
      <c r="R17" s="17">
        <f t="shared" si="5"/>
        <v>0</v>
      </c>
      <c r="S17" s="17">
        <f>(Resumen!$C$10*(Resumen!$C$24)*(1+Incmat))*$C17</f>
        <v>0</v>
      </c>
      <c r="T17" s="21">
        <f t="shared" si="6"/>
        <v>0</v>
      </c>
      <c r="U17" s="17">
        <f t="shared" si="7"/>
        <v>0</v>
      </c>
      <c r="V17" s="17">
        <f t="shared" si="8"/>
        <v>0</v>
      </c>
      <c r="W17" s="17">
        <f t="shared" si="14"/>
        <v>5.8207660913467407E-11</v>
      </c>
      <c r="X17" s="15" t="str">
        <f>+IF(B17="","",Resumen!$C$34)</f>
        <v/>
      </c>
      <c r="Y17" s="16">
        <f t="shared" si="1"/>
        <v>0</v>
      </c>
      <c r="Z17" s="20">
        <f t="shared" si="9"/>
        <v>0</v>
      </c>
      <c r="AA17" s="20">
        <f t="shared" si="10"/>
        <v>0</v>
      </c>
      <c r="AB17" s="20">
        <f>+IF(Resumen!$C$8="no",0,W17*((1+10%)^(0.0833333333333333)-1))</f>
        <v>0</v>
      </c>
    </row>
    <row r="18" spans="1:28" x14ac:dyDescent="0.35">
      <c r="A18">
        <f t="shared" si="11"/>
        <v>17</v>
      </c>
      <c r="B18" t="str">
        <f>+IF(A18&gt;Resumen!$C$40,"",A18)</f>
        <v/>
      </c>
      <c r="C18" s="1">
        <f>+IFERROR(HLOOKUP($B18,Resumen!$F$3:$AM$10,8,0),0)</f>
        <v>0</v>
      </c>
      <c r="D18" s="1">
        <f>+IFERROR(HLOOKUP($B18,Resumen!$F$3:$AM$12,10),0)</f>
        <v>0</v>
      </c>
      <c r="E18" s="1">
        <f>+IF(B18=Resumen!$C$38*6-6,1,0)</f>
        <v>0</v>
      </c>
      <c r="F18" s="1">
        <f>+IFERROR(HLOOKUP($B18,Resumen!$F$3:$AM$14,12),0)</f>
        <v>0</v>
      </c>
      <c r="G18" s="17">
        <f t="shared" si="15"/>
        <v>5.8207660913467407E-11</v>
      </c>
      <c r="H18" s="17">
        <f>IF(X18="",0,IF(F18=0,ROUND(SUM(J$2:J18)*X18,2),0))</f>
        <v>0</v>
      </c>
      <c r="I18" s="17">
        <f t="shared" si="0"/>
        <v>0</v>
      </c>
      <c r="J18" s="17">
        <f>(Resumen!$C$10*(1-Resumen!$C$24)*(1+Incmat))*C18</f>
        <v>0</v>
      </c>
      <c r="K18" s="17">
        <f>+IF(F18=1,PMT(X18,(Resumen!$C$36+Resumen!$C$26+Resumen!$C$14*6-B18+1),-Amortizacion!G18),0)</f>
        <v>0</v>
      </c>
      <c r="L18" s="17">
        <f t="shared" si="3"/>
        <v>0</v>
      </c>
      <c r="M18" s="17">
        <f>+IF(Resumen!$C$20="no",H18,0)</f>
        <v>0</v>
      </c>
      <c r="N18" s="17">
        <f t="shared" si="4"/>
        <v>5.8207660913467407E-11</v>
      </c>
      <c r="O18" s="17">
        <f>+IF(AND(Resumen!$C$18="SI",Amortizacion!E18=1),SUM($H$2:J18)*25%,0)</f>
        <v>0</v>
      </c>
      <c r="P18" s="1">
        <f t="shared" si="12"/>
        <v>0</v>
      </c>
      <c r="Q18" s="17">
        <f t="shared" si="13"/>
        <v>0</v>
      </c>
      <c r="R18" s="17">
        <f t="shared" si="5"/>
        <v>0</v>
      </c>
      <c r="S18" s="17">
        <f>(Resumen!$C$10*(Resumen!$C$24)*(1+Incmat))*$C18</f>
        <v>0</v>
      </c>
      <c r="T18" s="21">
        <f t="shared" si="6"/>
        <v>0</v>
      </c>
      <c r="U18" s="17">
        <f t="shared" si="7"/>
        <v>0</v>
      </c>
      <c r="V18" s="17">
        <f t="shared" si="8"/>
        <v>0</v>
      </c>
      <c r="W18" s="17">
        <f t="shared" si="14"/>
        <v>5.8207660913467407E-11</v>
      </c>
      <c r="X18" s="15" t="str">
        <f>+IF(B18="","",Resumen!$C$34)</f>
        <v/>
      </c>
      <c r="Y18" s="16">
        <f t="shared" si="1"/>
        <v>0</v>
      </c>
      <c r="Z18" s="20">
        <f t="shared" si="9"/>
        <v>0</v>
      </c>
      <c r="AA18" s="20">
        <f t="shared" si="10"/>
        <v>0</v>
      </c>
      <c r="AB18" s="20">
        <f>+IF(Resumen!$C$8="no",0,W18*((1+10%)^(0.0833333333333333)-1))</f>
        <v>0</v>
      </c>
    </row>
    <row r="19" spans="1:28" x14ac:dyDescent="0.35">
      <c r="A19">
        <f t="shared" si="11"/>
        <v>18</v>
      </c>
      <c r="B19" t="str">
        <f>+IF(A19&gt;Resumen!$C$40,"",A19)</f>
        <v/>
      </c>
      <c r="C19" s="1">
        <f>+IFERROR(HLOOKUP($B19,Resumen!$F$3:$AM$10,8,0),0)</f>
        <v>0</v>
      </c>
      <c r="D19" s="1">
        <f>+IFERROR(HLOOKUP($B19,Resumen!$F$3:$AM$12,10),0)</f>
        <v>0</v>
      </c>
      <c r="E19" s="1">
        <f>+IF(B19=Resumen!$C$38*6-6,1,0)</f>
        <v>0</v>
      </c>
      <c r="F19" s="1">
        <f>+IFERROR(HLOOKUP($B19,Resumen!$F$3:$AM$14,12),0)</f>
        <v>0</v>
      </c>
      <c r="G19" s="17">
        <f t="shared" si="15"/>
        <v>5.8207660913467407E-11</v>
      </c>
      <c r="H19" s="17">
        <f>IF(X19="",0,IF(F19=0,ROUND(SUM(J$2:J19)*X19,2),0))</f>
        <v>0</v>
      </c>
      <c r="I19" s="17">
        <f t="shared" si="0"/>
        <v>0</v>
      </c>
      <c r="J19" s="17">
        <f>(Resumen!$C$10*(1-Resumen!$C$24)*(1+Incmat))*C19</f>
        <v>0</v>
      </c>
      <c r="K19" s="17">
        <f>+IF(F19=1,PMT(X19,(Resumen!$C$36+Resumen!$C$26+Resumen!$C$14*6-B19+1),-Amortizacion!G19),0)</f>
        <v>0</v>
      </c>
      <c r="L19" s="17">
        <f t="shared" si="3"/>
        <v>0</v>
      </c>
      <c r="M19" s="17">
        <f>+IF(Resumen!$C$20="no",H19,0)</f>
        <v>0</v>
      </c>
      <c r="N19" s="17">
        <f t="shared" si="4"/>
        <v>5.8207660913467407E-11</v>
      </c>
      <c r="O19" s="17">
        <f>+IF(AND(Resumen!$C$18="SI",Amortizacion!E19=1),SUM($H$2:J19)*25%,0)</f>
        <v>0</v>
      </c>
      <c r="P19" s="1">
        <f t="shared" si="12"/>
        <v>0</v>
      </c>
      <c r="Q19" s="17">
        <f t="shared" si="13"/>
        <v>0</v>
      </c>
      <c r="R19" s="17">
        <f t="shared" si="5"/>
        <v>0</v>
      </c>
      <c r="S19" s="17">
        <f>(Resumen!$C$10*(Resumen!$C$24)*(1+Incmat))*$C19</f>
        <v>0</v>
      </c>
      <c r="T19" s="21">
        <f t="shared" si="6"/>
        <v>0</v>
      </c>
      <c r="U19" s="17">
        <f t="shared" si="7"/>
        <v>0</v>
      </c>
      <c r="V19" s="17">
        <f t="shared" si="8"/>
        <v>0</v>
      </c>
      <c r="W19" s="17">
        <f t="shared" si="14"/>
        <v>5.8207660913467407E-11</v>
      </c>
      <c r="X19" s="15" t="str">
        <f>+IF(B19="","",Resumen!$C$34)</f>
        <v/>
      </c>
      <c r="Y19" s="16">
        <f t="shared" si="1"/>
        <v>0</v>
      </c>
      <c r="Z19" s="20">
        <f t="shared" si="9"/>
        <v>0</v>
      </c>
      <c r="AA19" s="20">
        <f t="shared" si="10"/>
        <v>0</v>
      </c>
      <c r="AB19" s="20">
        <f>+IF(Resumen!$C$8="no",0,W19*((1+10%)^(0.0833333333333333)-1))</f>
        <v>0</v>
      </c>
    </row>
    <row r="20" spans="1:28" x14ac:dyDescent="0.35">
      <c r="A20">
        <f t="shared" si="11"/>
        <v>19</v>
      </c>
      <c r="B20" t="str">
        <f>+IF(A20&gt;Resumen!$C$40,"",A20)</f>
        <v/>
      </c>
      <c r="C20" s="1">
        <f>+IFERROR(HLOOKUP($B20,Resumen!$F$3:$AM$10,8,0),0)</f>
        <v>0</v>
      </c>
      <c r="D20" s="1">
        <f>+IFERROR(HLOOKUP($B20,Resumen!$F$3:$AM$12,10),0)</f>
        <v>0</v>
      </c>
      <c r="E20" s="1">
        <f>+IF(B20=Resumen!$C$38*6-6,1,0)</f>
        <v>0</v>
      </c>
      <c r="F20" s="1">
        <f>+IFERROR(HLOOKUP($B20,Resumen!$F$3:$AM$14,12),0)</f>
        <v>0</v>
      </c>
      <c r="G20" s="17">
        <f t="shared" si="15"/>
        <v>5.8207660913467407E-11</v>
      </c>
      <c r="H20" s="17">
        <f>IF(X20="",0,IF(F20=0,ROUND(SUM(J$2:J20)*X20,2),0))</f>
        <v>0</v>
      </c>
      <c r="I20" s="17">
        <f t="shared" si="0"/>
        <v>0</v>
      </c>
      <c r="J20" s="17">
        <f>(Resumen!$C$10*(1-Resumen!$C$24)*(1+Incmat))*C20</f>
        <v>0</v>
      </c>
      <c r="K20" s="17">
        <f>+IF(F20=1,PMT(X20,(Resumen!$C$36+Resumen!$C$26+Resumen!$C$14*6-B20+1),-Amortizacion!G20),0)</f>
        <v>0</v>
      </c>
      <c r="L20" s="17">
        <f t="shared" si="3"/>
        <v>0</v>
      </c>
      <c r="M20" s="17">
        <f>+IF(Resumen!$C$20="no",H20,0)</f>
        <v>0</v>
      </c>
      <c r="N20" s="17">
        <f t="shared" si="4"/>
        <v>5.8207660913467407E-11</v>
      </c>
      <c r="O20" s="17">
        <f>+IF(AND(Resumen!$C$18="SI",Amortizacion!E20=1),SUM($H$2:J20)*25%,0)</f>
        <v>0</v>
      </c>
      <c r="P20" s="1">
        <f t="shared" si="12"/>
        <v>0</v>
      </c>
      <c r="Q20" s="17">
        <f t="shared" si="13"/>
        <v>0</v>
      </c>
      <c r="R20" s="17">
        <f t="shared" si="5"/>
        <v>0</v>
      </c>
      <c r="S20" s="17">
        <f>(Resumen!$C$10*(Resumen!$C$24)*(1+Incmat))*$C20</f>
        <v>0</v>
      </c>
      <c r="T20" s="21">
        <f t="shared" si="6"/>
        <v>0</v>
      </c>
      <c r="U20" s="17">
        <f t="shared" si="7"/>
        <v>0</v>
      </c>
      <c r="V20" s="17">
        <f t="shared" si="8"/>
        <v>0</v>
      </c>
      <c r="W20" s="17">
        <f t="shared" si="14"/>
        <v>5.8207660913467407E-11</v>
      </c>
      <c r="X20" s="15" t="str">
        <f>+IF(B20="","",Resumen!$C$34)</f>
        <v/>
      </c>
      <c r="Y20" s="16">
        <f t="shared" si="1"/>
        <v>0</v>
      </c>
      <c r="Z20" s="20">
        <f t="shared" si="9"/>
        <v>0</v>
      </c>
      <c r="AA20" s="20">
        <f t="shared" si="10"/>
        <v>0</v>
      </c>
      <c r="AB20" s="20">
        <f>+IF(Resumen!$C$8="no",0,W20*((1+10%)^(0.0833333333333333)-1))</f>
        <v>0</v>
      </c>
    </row>
    <row r="21" spans="1:28" x14ac:dyDescent="0.35">
      <c r="A21">
        <f t="shared" si="11"/>
        <v>20</v>
      </c>
      <c r="B21" t="str">
        <f>+IF(A21&gt;Resumen!$C$40,"",A21)</f>
        <v/>
      </c>
      <c r="C21" s="1">
        <f>+IFERROR(HLOOKUP($B21,Resumen!$F$3:$AM$10,8,0),0)</f>
        <v>0</v>
      </c>
      <c r="D21" s="1">
        <f>+IFERROR(HLOOKUP($B21,Resumen!$F$3:$AM$12,10),0)</f>
        <v>0</v>
      </c>
      <c r="E21" s="1">
        <f>+IF(B21=Resumen!$C$38*6-6,1,0)</f>
        <v>0</v>
      </c>
      <c r="F21" s="1">
        <f>+IFERROR(HLOOKUP($B21,Resumen!$F$3:$AM$14,12),0)</f>
        <v>0</v>
      </c>
      <c r="G21" s="17">
        <f t="shared" si="15"/>
        <v>5.8207660913467407E-11</v>
      </c>
      <c r="H21" s="17">
        <f>IF(X21="",0,IF(F21=0,ROUND(SUM(J$2:J21)*X21,2),0))</f>
        <v>0</v>
      </c>
      <c r="I21" s="17">
        <f t="shared" si="0"/>
        <v>0</v>
      </c>
      <c r="J21" s="17">
        <f>(Resumen!$C$10*(1-Resumen!$C$24)*(1+Incmat))*C21</f>
        <v>0</v>
      </c>
      <c r="K21" s="17">
        <f>+IF(F21=1,PMT(X21,(Resumen!$C$36+Resumen!$C$26+Resumen!$C$14*6-B21+1),-Amortizacion!G21),0)</f>
        <v>0</v>
      </c>
      <c r="L21" s="17">
        <f t="shared" si="3"/>
        <v>0</v>
      </c>
      <c r="M21" s="17">
        <f>+IF(Resumen!$C$20="no",H21,0)</f>
        <v>0</v>
      </c>
      <c r="N21" s="17">
        <f t="shared" si="4"/>
        <v>5.8207660913467407E-11</v>
      </c>
      <c r="O21" s="17">
        <f>+IF(AND(Resumen!$C$18="SI",Amortizacion!E21=1),SUM($H$2:J21)*25%,0)</f>
        <v>0</v>
      </c>
      <c r="P21" s="1">
        <f t="shared" si="12"/>
        <v>0</v>
      </c>
      <c r="Q21" s="17">
        <f t="shared" si="13"/>
        <v>0</v>
      </c>
      <c r="R21" s="17">
        <f t="shared" si="5"/>
        <v>0</v>
      </c>
      <c r="S21" s="17">
        <f>(Resumen!$C$10*(Resumen!$C$24)*(1+Incmat))*$C21</f>
        <v>0</v>
      </c>
      <c r="T21" s="21">
        <f t="shared" si="6"/>
        <v>0</v>
      </c>
      <c r="U21" s="17">
        <f t="shared" si="7"/>
        <v>0</v>
      </c>
      <c r="V21" s="17">
        <f t="shared" si="8"/>
        <v>0</v>
      </c>
      <c r="W21" s="17">
        <f t="shared" si="14"/>
        <v>5.8207660913467407E-11</v>
      </c>
      <c r="X21" s="15" t="str">
        <f>+IF(B21="","",Resumen!$C$34)</f>
        <v/>
      </c>
      <c r="Y21" s="16">
        <f t="shared" si="1"/>
        <v>0</v>
      </c>
      <c r="Z21" s="20">
        <f t="shared" si="9"/>
        <v>0</v>
      </c>
      <c r="AA21" s="20">
        <f t="shared" si="10"/>
        <v>0</v>
      </c>
      <c r="AB21" s="20">
        <f>+IF(Resumen!$C$8="no",0,W21*((1+10%)^(0.0833333333333333)-1))</f>
        <v>0</v>
      </c>
    </row>
    <row r="22" spans="1:28" x14ac:dyDescent="0.35">
      <c r="A22">
        <f t="shared" si="11"/>
        <v>21</v>
      </c>
      <c r="B22" t="str">
        <f>+IF(A22&gt;Resumen!$C$40,"",A22)</f>
        <v/>
      </c>
      <c r="C22" s="1">
        <f>+IFERROR(HLOOKUP($B22,Resumen!$F$3:$AM$10,8,0),0)</f>
        <v>0</v>
      </c>
      <c r="D22" s="1">
        <f>+IFERROR(HLOOKUP($B22,Resumen!$F$3:$AM$12,10),0)</f>
        <v>0</v>
      </c>
      <c r="E22" s="1">
        <f>+IF(B22=Resumen!$C$38*6-6,1,0)</f>
        <v>0</v>
      </c>
      <c r="F22" s="1">
        <f>+IFERROR(HLOOKUP($B22,Resumen!$F$3:$AM$14,12),0)</f>
        <v>0</v>
      </c>
      <c r="G22" s="17">
        <f t="shared" si="15"/>
        <v>5.8207660913467407E-11</v>
      </c>
      <c r="H22" s="17">
        <f>IF(X22="",0,IF(F22=0,ROUND(SUM(J$2:J22)*X22,2),0))</f>
        <v>0</v>
      </c>
      <c r="I22" s="17">
        <f t="shared" si="0"/>
        <v>0</v>
      </c>
      <c r="J22" s="17">
        <f>(Resumen!$C$10*(1-Resumen!$C$24)*(1+Incmat))*C22</f>
        <v>0</v>
      </c>
      <c r="K22" s="17">
        <f>+IF(F22=1,PMT(X22,(Resumen!$C$36+Resumen!$C$26+Resumen!$C$14*6-B22+1),-Amortizacion!G22),0)</f>
        <v>0</v>
      </c>
      <c r="L22" s="17">
        <f t="shared" si="3"/>
        <v>0</v>
      </c>
      <c r="M22" s="17">
        <f>+IF(Resumen!$C$20="no",H22,0)</f>
        <v>0</v>
      </c>
      <c r="N22" s="17">
        <f t="shared" si="4"/>
        <v>5.8207660913467407E-11</v>
      </c>
      <c r="O22" s="17">
        <f>+IF(AND(Resumen!$C$18="SI",Amortizacion!E22=1),SUM($H$2:J22)*25%,0)</f>
        <v>0</v>
      </c>
      <c r="P22" s="1">
        <f t="shared" si="12"/>
        <v>0</v>
      </c>
      <c r="Q22" s="17">
        <f t="shared" si="13"/>
        <v>0</v>
      </c>
      <c r="R22" s="17">
        <f t="shared" si="5"/>
        <v>0</v>
      </c>
      <c r="S22" s="17">
        <f>(Resumen!$C$10*(Resumen!$C$24)*(1+Incmat))*$C22</f>
        <v>0</v>
      </c>
      <c r="T22" s="21">
        <f t="shared" si="6"/>
        <v>0</v>
      </c>
      <c r="U22" s="17">
        <f t="shared" si="7"/>
        <v>0</v>
      </c>
      <c r="V22" s="17">
        <f t="shared" si="8"/>
        <v>0</v>
      </c>
      <c r="W22" s="17">
        <f t="shared" si="14"/>
        <v>5.8207660913467407E-11</v>
      </c>
      <c r="X22" s="15" t="str">
        <f>+IF(B22="","",Resumen!$C$34)</f>
        <v/>
      </c>
      <c r="Y22" s="16">
        <f t="shared" si="1"/>
        <v>0</v>
      </c>
      <c r="Z22" s="20">
        <f t="shared" si="9"/>
        <v>0</v>
      </c>
      <c r="AA22" s="20">
        <f t="shared" si="10"/>
        <v>0</v>
      </c>
      <c r="AB22" s="20">
        <f>+IF(Resumen!$C$8="no",0,W22*((1+10%)^(0.0833333333333333)-1))</f>
        <v>0</v>
      </c>
    </row>
    <row r="23" spans="1:28" x14ac:dyDescent="0.35">
      <c r="A23">
        <f t="shared" si="11"/>
        <v>22</v>
      </c>
      <c r="B23" t="str">
        <f>+IF(A23&gt;Resumen!$C$40,"",A23)</f>
        <v/>
      </c>
      <c r="C23" s="1">
        <f>+IFERROR(HLOOKUP($B23,Resumen!$F$3:$AM$10,8,0),0)</f>
        <v>0</v>
      </c>
      <c r="D23" s="1">
        <f>+IFERROR(HLOOKUP($B23,Resumen!$F$3:$AM$12,10),0)</f>
        <v>0</v>
      </c>
      <c r="E23" s="1">
        <f>+IF(B23=Resumen!$C$38*6-6,1,0)</f>
        <v>0</v>
      </c>
      <c r="F23" s="1">
        <f>+IFERROR(HLOOKUP($B23,Resumen!$F$3:$AM$14,12),0)</f>
        <v>0</v>
      </c>
      <c r="G23" s="17">
        <f t="shared" si="15"/>
        <v>5.8207660913467407E-11</v>
      </c>
      <c r="H23" s="17">
        <f>IF(X23="",0,IF(F23=0,ROUND(SUM(J$2:J23)*X23,2),0))</f>
        <v>0</v>
      </c>
      <c r="I23" s="17">
        <f t="shared" si="0"/>
        <v>0</v>
      </c>
      <c r="J23" s="17">
        <f>(Resumen!$C$10*(1-Resumen!$C$24)*(1+Incmat))*C23</f>
        <v>0</v>
      </c>
      <c r="K23" s="17">
        <f>+IF(F23=1,PMT(X23,(Resumen!$C$36+Resumen!$C$26+Resumen!$C$14*6-B23+1),-Amortizacion!G23),0)</f>
        <v>0</v>
      </c>
      <c r="L23" s="17">
        <f t="shared" si="3"/>
        <v>0</v>
      </c>
      <c r="M23" s="17">
        <f>+IF(Resumen!$C$20="no",H23,0)</f>
        <v>0</v>
      </c>
      <c r="N23" s="17">
        <f t="shared" si="4"/>
        <v>5.8207660913467407E-11</v>
      </c>
      <c r="O23" s="17">
        <f>+IF(AND(Resumen!$C$18="SI",Amortizacion!E23=1),SUM($H$2:J23)*25%,0)</f>
        <v>0</v>
      </c>
      <c r="P23" s="1">
        <f t="shared" si="12"/>
        <v>0</v>
      </c>
      <c r="Q23" s="17">
        <f t="shared" si="13"/>
        <v>0</v>
      </c>
      <c r="R23" s="17">
        <f t="shared" si="5"/>
        <v>0</v>
      </c>
      <c r="S23" s="17">
        <f>(Resumen!$C$10*(Resumen!$C$24)*(1+Incmat))*$C23</f>
        <v>0</v>
      </c>
      <c r="T23" s="21">
        <f t="shared" si="6"/>
        <v>0</v>
      </c>
      <c r="U23" s="17">
        <f t="shared" si="7"/>
        <v>0</v>
      </c>
      <c r="V23" s="17">
        <f t="shared" si="8"/>
        <v>0</v>
      </c>
      <c r="W23" s="17">
        <f t="shared" si="14"/>
        <v>5.8207660913467407E-11</v>
      </c>
      <c r="X23" s="15" t="str">
        <f>+IF(B23="","",Resumen!$C$34)</f>
        <v/>
      </c>
      <c r="Y23" s="16">
        <f t="shared" si="1"/>
        <v>0</v>
      </c>
      <c r="Z23" s="20">
        <f t="shared" si="9"/>
        <v>0</v>
      </c>
      <c r="AA23" s="20">
        <f t="shared" si="10"/>
        <v>0</v>
      </c>
      <c r="AB23" s="20">
        <f>+IF(Resumen!$C$8="no",0,W23*((1+10%)^(0.0833333333333333)-1))</f>
        <v>0</v>
      </c>
    </row>
    <row r="24" spans="1:28" x14ac:dyDescent="0.35">
      <c r="A24">
        <f t="shared" si="11"/>
        <v>23</v>
      </c>
      <c r="B24" t="str">
        <f>+IF(A24&gt;Resumen!$C$40,"",A24)</f>
        <v/>
      </c>
      <c r="C24" s="1">
        <f>+IFERROR(HLOOKUP($B24,Resumen!$F$3:$AM$10,8,0),0)</f>
        <v>0</v>
      </c>
      <c r="D24" s="1">
        <f>+IFERROR(HLOOKUP($B24,Resumen!$F$3:$AM$12,10),0)</f>
        <v>0</v>
      </c>
      <c r="E24" s="1">
        <f>+IF(B24=Resumen!$C$38*6-6,1,0)</f>
        <v>0</v>
      </c>
      <c r="F24" s="1">
        <f>+IFERROR(HLOOKUP($B24,Resumen!$F$3:$AM$14,12),0)</f>
        <v>0</v>
      </c>
      <c r="G24" s="17">
        <f t="shared" si="15"/>
        <v>5.8207660913467407E-11</v>
      </c>
      <c r="H24" s="17">
        <f>IF(X24="",0,IF(F24=0,ROUND(SUM(J$2:J24)*X24,2),0))</f>
        <v>0</v>
      </c>
      <c r="I24" s="17">
        <f t="shared" si="0"/>
        <v>0</v>
      </c>
      <c r="J24" s="17">
        <f>(Resumen!$C$10*(1-Resumen!$C$24)*(1+Incmat))*C24</f>
        <v>0</v>
      </c>
      <c r="K24" s="17">
        <f>+IF(F24=1,PMT(X24,(Resumen!$C$36+Resumen!$C$26+Resumen!$C$14*6-B24+1),-Amortizacion!G24),0)</f>
        <v>0</v>
      </c>
      <c r="L24" s="17">
        <f t="shared" si="3"/>
        <v>0</v>
      </c>
      <c r="M24" s="17">
        <f>+IF(Resumen!$C$20="no",H24,0)</f>
        <v>0</v>
      </c>
      <c r="N24" s="17">
        <f t="shared" si="4"/>
        <v>5.8207660913467407E-11</v>
      </c>
      <c r="O24" s="17">
        <f>+IF(AND(Resumen!$C$18="SI",Amortizacion!E24=1),SUM($H$2:J24)*25%,0)</f>
        <v>0</v>
      </c>
      <c r="P24" s="1">
        <f t="shared" si="12"/>
        <v>0</v>
      </c>
      <c r="Q24" s="17">
        <f t="shared" si="13"/>
        <v>0</v>
      </c>
      <c r="R24" s="17">
        <f t="shared" si="5"/>
        <v>0</v>
      </c>
      <c r="S24" s="17">
        <f>(Resumen!$C$10*(Resumen!$C$24)*(1+Incmat))*$C24</f>
        <v>0</v>
      </c>
      <c r="T24" s="21">
        <f t="shared" si="6"/>
        <v>0</v>
      </c>
      <c r="U24" s="17">
        <f t="shared" si="7"/>
        <v>0</v>
      </c>
      <c r="V24" s="17">
        <f t="shared" si="8"/>
        <v>0</v>
      </c>
      <c r="W24" s="17">
        <f t="shared" si="14"/>
        <v>5.8207660913467407E-11</v>
      </c>
      <c r="X24" s="15" t="str">
        <f>+IF(B24="","",Resumen!$C$34)</f>
        <v/>
      </c>
      <c r="Y24" s="16">
        <f t="shared" si="1"/>
        <v>0</v>
      </c>
      <c r="Z24" s="20">
        <f t="shared" si="9"/>
        <v>0</v>
      </c>
      <c r="AA24" s="20">
        <f t="shared" si="10"/>
        <v>0</v>
      </c>
      <c r="AB24" s="20">
        <f>+IF(Resumen!$C$8="no",0,W24*((1+10%)^(0.0833333333333333)-1))</f>
        <v>0</v>
      </c>
    </row>
    <row r="25" spans="1:28" x14ac:dyDescent="0.35">
      <c r="A25">
        <f t="shared" si="11"/>
        <v>24</v>
      </c>
      <c r="B25" t="str">
        <f>+IF(A25&gt;Resumen!$C$40,"",A25)</f>
        <v/>
      </c>
      <c r="C25" s="1">
        <f>+IFERROR(HLOOKUP($B25,Resumen!$F$3:$AM$10,8,0),0)</f>
        <v>0</v>
      </c>
      <c r="D25" s="1">
        <f>+IFERROR(HLOOKUP($B25,Resumen!$F$3:$AM$12,10),0)</f>
        <v>0</v>
      </c>
      <c r="E25" s="1">
        <f>+IF(B25=Resumen!$C$38*6-6,1,0)</f>
        <v>0</v>
      </c>
      <c r="F25" s="1">
        <f>+IFERROR(HLOOKUP($B25,Resumen!$F$3:$AM$14,12),0)</f>
        <v>0</v>
      </c>
      <c r="G25" s="17">
        <f t="shared" si="15"/>
        <v>5.8207660913467407E-11</v>
      </c>
      <c r="H25" s="17">
        <f>IF(X25="",0,IF(F25=0,ROUND(SUM(J$2:J25)*X25,2),0))</f>
        <v>0</v>
      </c>
      <c r="I25" s="17">
        <f t="shared" si="0"/>
        <v>0</v>
      </c>
      <c r="J25" s="17">
        <f>(Resumen!$C$10*(1-Resumen!$C$24)*(1+Incmat))*C25</f>
        <v>0</v>
      </c>
      <c r="K25" s="17">
        <f>+IF(F25=1,PMT(X25,(Resumen!$C$36+Resumen!$C$26+Resumen!$C$14*6-B25+1),-Amortizacion!G25),0)</f>
        <v>0</v>
      </c>
      <c r="L25" s="17">
        <f t="shared" si="3"/>
        <v>0</v>
      </c>
      <c r="M25" s="17">
        <f>+IF(Resumen!$C$20="no",H25,0)</f>
        <v>0</v>
      </c>
      <c r="N25" s="17">
        <f t="shared" si="4"/>
        <v>5.8207660913467407E-11</v>
      </c>
      <c r="O25" s="17">
        <f>+IF(AND(Resumen!$C$18="SI",Amortizacion!E25=1),SUM($H$2:J25)*25%,0)</f>
        <v>0</v>
      </c>
      <c r="P25" s="1">
        <f t="shared" si="12"/>
        <v>0</v>
      </c>
      <c r="Q25" s="17">
        <f t="shared" si="13"/>
        <v>0</v>
      </c>
      <c r="R25" s="17">
        <f t="shared" si="5"/>
        <v>0</v>
      </c>
      <c r="S25" s="17">
        <f>(Resumen!$C$10*(Resumen!$C$24)*(1+Incmat))*$C25</f>
        <v>0</v>
      </c>
      <c r="T25" s="21">
        <f t="shared" si="6"/>
        <v>0</v>
      </c>
      <c r="U25" s="17">
        <f t="shared" si="7"/>
        <v>0</v>
      </c>
      <c r="V25" s="17">
        <f t="shared" si="8"/>
        <v>0</v>
      </c>
      <c r="W25" s="17">
        <f t="shared" si="14"/>
        <v>5.8207660913467407E-11</v>
      </c>
      <c r="X25" s="15" t="str">
        <f>+IF(B25="","",Resumen!$C$34)</f>
        <v/>
      </c>
      <c r="Y25" s="16">
        <f t="shared" si="1"/>
        <v>0</v>
      </c>
      <c r="Z25" s="20">
        <f t="shared" si="9"/>
        <v>0</v>
      </c>
      <c r="AA25" s="20">
        <f t="shared" si="10"/>
        <v>0</v>
      </c>
      <c r="AB25" s="20">
        <f>+IF(Resumen!$C$8="no",0,W25*((1+10%)^(0.0833333333333333)-1))</f>
        <v>0</v>
      </c>
    </row>
    <row r="26" spans="1:28" x14ac:dyDescent="0.35">
      <c r="A26">
        <f t="shared" si="11"/>
        <v>25</v>
      </c>
      <c r="B26" t="str">
        <f>+IF(A26&gt;Resumen!$C$40,"",A26)</f>
        <v/>
      </c>
      <c r="C26" s="1">
        <f>+IFERROR(HLOOKUP($B26,Resumen!$F$3:$AM$10,8,0),0)</f>
        <v>0</v>
      </c>
      <c r="D26" s="1">
        <f>+IFERROR(HLOOKUP($B26,Resumen!$F$3:$AM$12,10),0)</f>
        <v>0</v>
      </c>
      <c r="E26" s="1">
        <f>+IF(B26=Resumen!$C$38*6-6,1,0)</f>
        <v>0</v>
      </c>
      <c r="F26" s="1">
        <f>+IFERROR(HLOOKUP($B26,Resumen!$F$3:$AM$14,12),0)</f>
        <v>0</v>
      </c>
      <c r="G26" s="17">
        <f t="shared" si="15"/>
        <v>5.8207660913467407E-11</v>
      </c>
      <c r="H26" s="17">
        <f>IF(X26="",0,IF(F26=0,ROUND(SUM(J$2:J26)*X26,2),0))</f>
        <v>0</v>
      </c>
      <c r="I26" s="17">
        <f t="shared" si="0"/>
        <v>0</v>
      </c>
      <c r="J26" s="17">
        <f>(Resumen!$C$10*(1-Resumen!$C$24)*(1+Incmat)^2)*C26</f>
        <v>0</v>
      </c>
      <c r="K26" s="17">
        <f>+IF(F26=1,PMT(X26,(Resumen!$C$36+Resumen!$C$26+Resumen!$C$14*6-B26+1),-Amortizacion!G26),0)</f>
        <v>0</v>
      </c>
      <c r="L26" s="17">
        <f t="shared" si="3"/>
        <v>0</v>
      </c>
      <c r="M26" s="17">
        <f>+IF(Resumen!$C$20="no",H26,0)</f>
        <v>0</v>
      </c>
      <c r="N26" s="17">
        <f t="shared" si="4"/>
        <v>5.8207660913467407E-11</v>
      </c>
      <c r="O26" s="17">
        <f>+IF(AND(Resumen!$C$18="SI",Amortizacion!E26=1),SUM($H$2:J26)*25%,0)</f>
        <v>0</v>
      </c>
      <c r="P26" s="1">
        <f t="shared" si="12"/>
        <v>0</v>
      </c>
      <c r="Q26" s="17">
        <f t="shared" si="13"/>
        <v>0</v>
      </c>
      <c r="R26" s="17">
        <f t="shared" si="5"/>
        <v>0</v>
      </c>
      <c r="S26" s="17">
        <f>(Resumen!$C$10*(Resumen!$C$24)*(1+Incmat)^2)*$C26</f>
        <v>0</v>
      </c>
      <c r="T26" s="21">
        <f t="shared" si="6"/>
        <v>0</v>
      </c>
      <c r="U26" s="17">
        <f t="shared" si="7"/>
        <v>0</v>
      </c>
      <c r="V26" s="17">
        <f t="shared" si="8"/>
        <v>0</v>
      </c>
      <c r="W26" s="17">
        <f t="shared" si="14"/>
        <v>5.8207660913467407E-11</v>
      </c>
      <c r="X26" s="15" t="str">
        <f>+IF(B26="","",Resumen!$C$34)</f>
        <v/>
      </c>
      <c r="Y26" s="16">
        <f t="shared" si="1"/>
        <v>0</v>
      </c>
      <c r="Z26" s="20">
        <f t="shared" si="9"/>
        <v>0</v>
      </c>
      <c r="AA26" s="20">
        <f t="shared" si="10"/>
        <v>0</v>
      </c>
      <c r="AB26" s="20">
        <f>+IF(Resumen!$C$8="no",0,W26*((1+10%)^(0.0833333333333333)-1))</f>
        <v>0</v>
      </c>
    </row>
    <row r="27" spans="1:28" x14ac:dyDescent="0.35">
      <c r="A27">
        <f t="shared" si="11"/>
        <v>26</v>
      </c>
      <c r="B27" t="str">
        <f>+IF(A27&gt;Resumen!$C$40,"",A27)</f>
        <v/>
      </c>
      <c r="C27" s="1">
        <f>+IFERROR(HLOOKUP($B27,Resumen!$F$3:$AM$10,8,0),0)</f>
        <v>0</v>
      </c>
      <c r="D27" s="1">
        <f>+IFERROR(HLOOKUP($B27,Resumen!$F$3:$AM$12,10),0)</f>
        <v>0</v>
      </c>
      <c r="E27" s="1">
        <f>+IF(B27=Resumen!$C$38*6-6,1,0)</f>
        <v>0</v>
      </c>
      <c r="F27" s="1">
        <f>+IFERROR(HLOOKUP($B27,Resumen!$F$3:$AM$14,12),0)</f>
        <v>0</v>
      </c>
      <c r="G27" s="17">
        <f t="shared" si="15"/>
        <v>5.8207660913467407E-11</v>
      </c>
      <c r="H27" s="17">
        <f>IF(X27="",0,IF(F27=0,ROUND(SUM(J$2:J27)*X27,2),0))</f>
        <v>0</v>
      </c>
      <c r="I27" s="17">
        <f t="shared" si="0"/>
        <v>0</v>
      </c>
      <c r="J27" s="17">
        <f>(Resumen!$C$10*(1-Resumen!$C$24)*(1+Incmat)^2)*C27</f>
        <v>0</v>
      </c>
      <c r="K27" s="17">
        <f>+IF(F27=1,PMT(X27,(Resumen!$C$36+Resumen!$C$26+Resumen!$C$14*6-B27+1),-Amortizacion!G27),0)</f>
        <v>0</v>
      </c>
      <c r="L27" s="17">
        <f t="shared" si="3"/>
        <v>0</v>
      </c>
      <c r="M27" s="17">
        <f>+IF(Resumen!$C$20="no",H27,0)</f>
        <v>0</v>
      </c>
      <c r="N27" s="17">
        <f t="shared" si="4"/>
        <v>5.8207660913467407E-11</v>
      </c>
      <c r="O27" s="17">
        <f>+IF(AND(Resumen!$C$18="SI",Amortizacion!E27=1),SUM($H$2:J27)*25%,0)</f>
        <v>0</v>
      </c>
      <c r="P27" s="1">
        <f t="shared" si="12"/>
        <v>0</v>
      </c>
      <c r="Q27" s="17">
        <f t="shared" si="13"/>
        <v>0</v>
      </c>
      <c r="R27" s="17">
        <f t="shared" si="5"/>
        <v>0</v>
      </c>
      <c r="S27" s="17">
        <f>(Resumen!$C$10*(Resumen!$C$24)*(1+Incmat)^2)*$C27</f>
        <v>0</v>
      </c>
      <c r="T27" s="21">
        <f t="shared" si="6"/>
        <v>0</v>
      </c>
      <c r="U27" s="17">
        <f t="shared" si="7"/>
        <v>0</v>
      </c>
      <c r="V27" s="17">
        <f t="shared" si="8"/>
        <v>0</v>
      </c>
      <c r="W27" s="17">
        <f t="shared" si="14"/>
        <v>5.8207660913467407E-11</v>
      </c>
      <c r="X27" s="15" t="str">
        <f>+IF(B27="","",Resumen!$C$34)</f>
        <v/>
      </c>
      <c r="Y27" s="16">
        <f t="shared" si="1"/>
        <v>0</v>
      </c>
      <c r="Z27" s="20">
        <f t="shared" si="9"/>
        <v>0</v>
      </c>
      <c r="AA27" s="20">
        <f t="shared" si="10"/>
        <v>0</v>
      </c>
      <c r="AB27" s="20">
        <f>+IF(Resumen!$C$8="no",0,W27*((1+10%)^(0.0833333333333333)-1))</f>
        <v>0</v>
      </c>
    </row>
    <row r="28" spans="1:28" x14ac:dyDescent="0.35">
      <c r="A28">
        <f t="shared" si="11"/>
        <v>27</v>
      </c>
      <c r="B28" t="str">
        <f>+IF(A28&gt;Resumen!$C$40,"",A28)</f>
        <v/>
      </c>
      <c r="C28" s="1">
        <f>+IFERROR(HLOOKUP($B28,Resumen!$F$3:$AM$10,8,0),0)</f>
        <v>0</v>
      </c>
      <c r="D28" s="1">
        <f>+IFERROR(HLOOKUP($B28,Resumen!$F$3:$AM$12,10),0)</f>
        <v>0</v>
      </c>
      <c r="E28" s="1">
        <f>+IF(B28=Resumen!$C$38*6-6,1,0)</f>
        <v>0</v>
      </c>
      <c r="F28" s="1">
        <f>+IFERROR(HLOOKUP($B28,Resumen!$F$3:$AM$14,12),0)</f>
        <v>0</v>
      </c>
      <c r="G28" s="17">
        <f t="shared" si="15"/>
        <v>5.8207660913467407E-11</v>
      </c>
      <c r="H28" s="17">
        <f>IF(X28="",0,IF(F28=0,ROUND(SUM(J$2:J28)*X28,2),0))</f>
        <v>0</v>
      </c>
      <c r="I28" s="17">
        <f t="shared" si="0"/>
        <v>0</v>
      </c>
      <c r="J28" s="17">
        <f>(Resumen!$C$10*(1-Resumen!$C$24)*(1+Incmat)^2)*C28</f>
        <v>0</v>
      </c>
      <c r="K28" s="17">
        <f>+IF(F28=1,PMT(X28,(Resumen!$C$36+Resumen!$C$26+Resumen!$C$14*6-B28+1),-Amortizacion!G28),0)</f>
        <v>0</v>
      </c>
      <c r="L28" s="17">
        <f t="shared" si="3"/>
        <v>0</v>
      </c>
      <c r="M28" s="17">
        <f>+IF(Resumen!$C$20="no",H28,0)</f>
        <v>0</v>
      </c>
      <c r="N28" s="17">
        <f t="shared" si="4"/>
        <v>5.8207660913467407E-11</v>
      </c>
      <c r="O28" s="17">
        <f>+IF(AND(Resumen!$C$18="SI",Amortizacion!E28=1),SUM($H$2:J28)*25%,0)</f>
        <v>0</v>
      </c>
      <c r="P28" s="1">
        <f t="shared" si="12"/>
        <v>0</v>
      </c>
      <c r="Q28" s="17">
        <f t="shared" si="13"/>
        <v>0</v>
      </c>
      <c r="R28" s="17">
        <f t="shared" si="5"/>
        <v>0</v>
      </c>
      <c r="S28" s="17">
        <f>(Resumen!$C$10*(Resumen!$C$24)*(1+Incmat)^2)*$C28</f>
        <v>0</v>
      </c>
      <c r="T28" s="21">
        <f t="shared" si="6"/>
        <v>0</v>
      </c>
      <c r="U28" s="17">
        <f t="shared" si="7"/>
        <v>0</v>
      </c>
      <c r="V28" s="17">
        <f t="shared" si="8"/>
        <v>0</v>
      </c>
      <c r="W28" s="17">
        <f t="shared" si="14"/>
        <v>5.8207660913467407E-11</v>
      </c>
      <c r="X28" s="15" t="str">
        <f>+IF(B28="","",Resumen!$C$34)</f>
        <v/>
      </c>
      <c r="Y28" s="16">
        <f t="shared" si="1"/>
        <v>0</v>
      </c>
      <c r="Z28" s="20">
        <f t="shared" si="9"/>
        <v>0</v>
      </c>
      <c r="AA28" s="20">
        <f t="shared" si="10"/>
        <v>0</v>
      </c>
      <c r="AB28" s="20">
        <f>+IF(Resumen!$C$8="no",0,W28*((1+10%)^(0.0833333333333333)-1))</f>
        <v>0</v>
      </c>
    </row>
    <row r="29" spans="1:28" x14ac:dyDescent="0.35">
      <c r="A29">
        <f t="shared" si="11"/>
        <v>28</v>
      </c>
      <c r="B29" t="str">
        <f>+IF(A29&gt;Resumen!$C$40,"",A29)</f>
        <v/>
      </c>
      <c r="C29" s="1">
        <f>+IFERROR(HLOOKUP($B29,Resumen!$F$3:$AM$10,8,0),0)</f>
        <v>0</v>
      </c>
      <c r="D29" s="1">
        <f>+IFERROR(HLOOKUP($B29,Resumen!$F$3:$AM$12,10),0)</f>
        <v>0</v>
      </c>
      <c r="E29" s="1">
        <f>+IF(B29=Resumen!$C$38*6-6,1,0)</f>
        <v>0</v>
      </c>
      <c r="F29" s="1">
        <f>+IFERROR(HLOOKUP($B29,Resumen!$F$3:$AM$14,12),0)</f>
        <v>0</v>
      </c>
      <c r="G29" s="17">
        <f t="shared" si="15"/>
        <v>5.8207660913467407E-11</v>
      </c>
      <c r="H29" s="17">
        <f>IF(X29="",0,IF(F29=0,ROUND(SUM(J$2:J29)*X29,2),0))</f>
        <v>0</v>
      </c>
      <c r="I29" s="17">
        <f t="shared" si="0"/>
        <v>0</v>
      </c>
      <c r="J29" s="17">
        <f>(Resumen!$C$10*(1-Resumen!$C$24)*(1+Incmat)^2)*C29</f>
        <v>0</v>
      </c>
      <c r="K29" s="17">
        <f>+IF(F29=1,PMT(X29,(Resumen!$C$36+Resumen!$C$26+Resumen!$C$14*6-B29+1),-Amortizacion!G29),0)</f>
        <v>0</v>
      </c>
      <c r="L29" s="17">
        <f t="shared" si="3"/>
        <v>0</v>
      </c>
      <c r="M29" s="17">
        <f>+IF(Resumen!$C$20="no",H29,0)</f>
        <v>0</v>
      </c>
      <c r="N29" s="17">
        <f t="shared" si="4"/>
        <v>5.8207660913467407E-11</v>
      </c>
      <c r="O29" s="17">
        <f>+IF(AND(Resumen!$C$18="SI",Amortizacion!E29=1),SUM($H$2:J29)*25%,0)</f>
        <v>0</v>
      </c>
      <c r="P29" s="1">
        <f t="shared" si="12"/>
        <v>0</v>
      </c>
      <c r="Q29" s="17">
        <f t="shared" si="13"/>
        <v>0</v>
      </c>
      <c r="R29" s="17">
        <f t="shared" si="5"/>
        <v>0</v>
      </c>
      <c r="S29" s="17">
        <f>(Resumen!$C$10*(Resumen!$C$24)*(1+Incmat)^2)*$C29</f>
        <v>0</v>
      </c>
      <c r="T29" s="21">
        <f t="shared" si="6"/>
        <v>0</v>
      </c>
      <c r="U29" s="17">
        <f t="shared" si="7"/>
        <v>0</v>
      </c>
      <c r="V29" s="17">
        <f t="shared" si="8"/>
        <v>0</v>
      </c>
      <c r="W29" s="17">
        <f t="shared" si="14"/>
        <v>5.8207660913467407E-11</v>
      </c>
      <c r="X29" s="15" t="str">
        <f>+IF(B29="","",Resumen!$C$34)</f>
        <v/>
      </c>
      <c r="Y29" s="16">
        <f t="shared" si="1"/>
        <v>0</v>
      </c>
      <c r="Z29" s="20">
        <f t="shared" si="9"/>
        <v>0</v>
      </c>
      <c r="AA29" s="20">
        <f t="shared" si="10"/>
        <v>0</v>
      </c>
      <c r="AB29" s="20">
        <f>+IF(Resumen!$C$8="no",0,W29*((1+10%)^(0.0833333333333333)-1))</f>
        <v>0</v>
      </c>
    </row>
    <row r="30" spans="1:28" x14ac:dyDescent="0.35">
      <c r="A30">
        <f t="shared" si="11"/>
        <v>29</v>
      </c>
      <c r="B30" t="str">
        <f>+IF(A30&gt;Resumen!$C$40,"",A30)</f>
        <v/>
      </c>
      <c r="C30" s="1">
        <f>+IFERROR(HLOOKUP($B30,Resumen!$F$3:$AM$10,8,0),0)</f>
        <v>0</v>
      </c>
      <c r="D30" s="1">
        <f>+IFERROR(HLOOKUP($B30,Resumen!$F$3:$AM$12,10),0)</f>
        <v>0</v>
      </c>
      <c r="E30" s="1">
        <f>+IF(B30=Resumen!$C$38*6-6,1,0)</f>
        <v>0</v>
      </c>
      <c r="F30" s="1">
        <f>+IFERROR(HLOOKUP($B30,Resumen!$F$3:$AM$14,12),0)</f>
        <v>0</v>
      </c>
      <c r="G30" s="17">
        <f t="shared" si="15"/>
        <v>5.8207660913467407E-11</v>
      </c>
      <c r="H30" s="17">
        <f>IF(X30="",0,IF(F30=0,ROUND(SUM(J$2:J30)*X30,2),0))</f>
        <v>0</v>
      </c>
      <c r="I30" s="17">
        <f t="shared" si="0"/>
        <v>0</v>
      </c>
      <c r="J30" s="17">
        <f>(Resumen!$C$10*(1-Resumen!$C$24)*(1+Incmat)^2)*C30</f>
        <v>0</v>
      </c>
      <c r="K30" s="17">
        <f>+IF(F30=1,PMT(X30,(Resumen!$C$36+Resumen!$C$26+Resumen!$C$14*6-B30+1),-Amortizacion!G30),0)</f>
        <v>0</v>
      </c>
      <c r="L30" s="17">
        <f t="shared" si="3"/>
        <v>0</v>
      </c>
      <c r="M30" s="17">
        <f>+IF(Resumen!$C$20="no",H30,0)</f>
        <v>0</v>
      </c>
      <c r="N30" s="17">
        <f t="shared" si="4"/>
        <v>5.8207660913467407E-11</v>
      </c>
      <c r="O30" s="17">
        <f>+IF(AND(Resumen!$C$18="SI",Amortizacion!E30=1),SUM($H$2:J30)*25%,0)</f>
        <v>0</v>
      </c>
      <c r="P30" s="1">
        <f t="shared" si="12"/>
        <v>0</v>
      </c>
      <c r="Q30" s="17">
        <f t="shared" si="13"/>
        <v>0</v>
      </c>
      <c r="R30" s="17">
        <f t="shared" si="5"/>
        <v>0</v>
      </c>
      <c r="S30" s="17">
        <f>(Resumen!$C$10*(Resumen!$C$24)*(1+Incmat)^2)*$C30</f>
        <v>0</v>
      </c>
      <c r="T30" s="21">
        <f t="shared" si="6"/>
        <v>0</v>
      </c>
      <c r="U30" s="17">
        <f t="shared" si="7"/>
        <v>0</v>
      </c>
      <c r="V30" s="17">
        <f t="shared" si="8"/>
        <v>0</v>
      </c>
      <c r="W30" s="17">
        <f t="shared" si="14"/>
        <v>5.8207660913467407E-11</v>
      </c>
      <c r="X30" s="15" t="str">
        <f>+IF(B30="","",Resumen!$C$34)</f>
        <v/>
      </c>
      <c r="Y30" s="16">
        <f t="shared" si="1"/>
        <v>0</v>
      </c>
      <c r="Z30" s="20">
        <f t="shared" si="9"/>
        <v>0</v>
      </c>
      <c r="AA30" s="20">
        <f t="shared" si="10"/>
        <v>0</v>
      </c>
      <c r="AB30" s="20">
        <f>+IF(Resumen!$C$8="no",0,W30*((1+10%)^(0.0833333333333333)-1))</f>
        <v>0</v>
      </c>
    </row>
    <row r="31" spans="1:28" x14ac:dyDescent="0.35">
      <c r="A31">
        <f t="shared" si="11"/>
        <v>30</v>
      </c>
      <c r="B31" t="str">
        <f>+IF(A31&gt;Resumen!$C$40,"",A31)</f>
        <v/>
      </c>
      <c r="C31" s="1">
        <f>+IFERROR(HLOOKUP($B31,Resumen!$F$3:$AM$10,8,0),0)</f>
        <v>0</v>
      </c>
      <c r="D31" s="1">
        <f>+IFERROR(HLOOKUP($B31,Resumen!$F$3:$AM$12,10),0)</f>
        <v>0</v>
      </c>
      <c r="E31" s="1">
        <f>+IF(B31=Resumen!$C$38*6-6,1,0)</f>
        <v>0</v>
      </c>
      <c r="F31" s="1">
        <f>+IFERROR(HLOOKUP($B31,Resumen!$F$3:$AM$14,12),0)</f>
        <v>0</v>
      </c>
      <c r="G31" s="17">
        <f t="shared" si="15"/>
        <v>5.8207660913467407E-11</v>
      </c>
      <c r="H31" s="17">
        <f>IF(X31="",0,IF(F31=0,ROUND(SUM(J$2:J31)*X31,2),0))</f>
        <v>0</v>
      </c>
      <c r="I31" s="17">
        <f t="shared" si="0"/>
        <v>0</v>
      </c>
      <c r="J31" s="17">
        <f>(Resumen!$C$10*(1-Resumen!$C$24)*(1+Incmat)^2)*C31</f>
        <v>0</v>
      </c>
      <c r="K31" s="17">
        <f>+IF(F31=1,PMT(X31,(Resumen!$C$36+Resumen!$C$26+Resumen!$C$14*6-B31+1),-Amortizacion!G31),0)</f>
        <v>0</v>
      </c>
      <c r="L31" s="17">
        <f t="shared" si="3"/>
        <v>0</v>
      </c>
      <c r="M31" s="17">
        <f>+IF(Resumen!$C$20="no",H31,0)</f>
        <v>0</v>
      </c>
      <c r="N31" s="17">
        <f t="shared" si="4"/>
        <v>5.8207660913467407E-11</v>
      </c>
      <c r="O31" s="17">
        <f>+IF(AND(Resumen!$C$18="SI",Amortizacion!E31=1),SUM($H$2:J31)*25%,0)</f>
        <v>0</v>
      </c>
      <c r="P31" s="1">
        <f t="shared" si="12"/>
        <v>0</v>
      </c>
      <c r="Q31" s="17">
        <f t="shared" si="13"/>
        <v>0</v>
      </c>
      <c r="R31" s="17">
        <f t="shared" si="5"/>
        <v>0</v>
      </c>
      <c r="S31" s="17">
        <f>(Resumen!$C$10*(Resumen!$C$24)*(1+Incmat)^2)*$C31</f>
        <v>0</v>
      </c>
      <c r="T31" s="21">
        <f t="shared" si="6"/>
        <v>0</v>
      </c>
      <c r="U31" s="17">
        <f t="shared" si="7"/>
        <v>0</v>
      </c>
      <c r="V31" s="17">
        <f t="shared" si="8"/>
        <v>0</v>
      </c>
      <c r="W31" s="17">
        <f t="shared" si="14"/>
        <v>5.8207660913467407E-11</v>
      </c>
      <c r="X31" s="15" t="str">
        <f>+IF(B31="","",Resumen!$C$34)</f>
        <v/>
      </c>
      <c r="Y31" s="16">
        <f t="shared" si="1"/>
        <v>0</v>
      </c>
      <c r="Z31" s="20">
        <f t="shared" si="9"/>
        <v>0</v>
      </c>
      <c r="AA31" s="20">
        <f t="shared" si="10"/>
        <v>0</v>
      </c>
      <c r="AB31" s="20">
        <f>+IF(Resumen!$C$8="no",0,W31*((1+10%)^(0.0833333333333333)-1))</f>
        <v>0</v>
      </c>
    </row>
    <row r="32" spans="1:28" x14ac:dyDescent="0.35">
      <c r="A32">
        <f t="shared" si="11"/>
        <v>31</v>
      </c>
      <c r="B32" t="str">
        <f>+IF(A32&gt;Resumen!$C$40,"",A32)</f>
        <v/>
      </c>
      <c r="C32" s="1">
        <f>+IFERROR(HLOOKUP($B32,Resumen!$F$3:$AM$10,8,0),0)</f>
        <v>0</v>
      </c>
      <c r="D32" s="1">
        <f>+IFERROR(HLOOKUP($B32,Resumen!$F$3:$AM$12,10),0)</f>
        <v>0</v>
      </c>
      <c r="E32" s="1">
        <f>+IF(B32=Resumen!$C$38*6-6,1,0)</f>
        <v>0</v>
      </c>
      <c r="F32" s="1">
        <f>+IFERROR(HLOOKUP($B32,Resumen!$F$3:$AM$14,12),0)</f>
        <v>0</v>
      </c>
      <c r="G32" s="17">
        <f t="shared" si="15"/>
        <v>5.8207660913467407E-11</v>
      </c>
      <c r="H32" s="17">
        <f>IF(X32="",0,IF(F32=0,ROUND(SUM(J$2:J32)*X32,2),0))</f>
        <v>0</v>
      </c>
      <c r="I32" s="17">
        <f t="shared" si="0"/>
        <v>0</v>
      </c>
      <c r="J32" s="17">
        <f>(Resumen!$C$10*(1-Resumen!$C$24)*(1+Incmat)^2)*C32</f>
        <v>0</v>
      </c>
      <c r="K32" s="17">
        <f>+IF(F32=1,PMT(X32,(Resumen!$C$36+Resumen!$C$26+Resumen!$C$14*6-B32+1),-Amortizacion!G32),0)</f>
        <v>0</v>
      </c>
      <c r="L32" s="17">
        <f t="shared" si="3"/>
        <v>0</v>
      </c>
      <c r="M32" s="17">
        <f>+IF(Resumen!$C$20="no",H32,0)</f>
        <v>0</v>
      </c>
      <c r="N32" s="17">
        <f t="shared" si="4"/>
        <v>5.8207660913467407E-11</v>
      </c>
      <c r="O32" s="17">
        <f>+IF(AND(Resumen!$C$18="SI",Amortizacion!E32=1),SUM($H$2:J32)*25%,0)</f>
        <v>0</v>
      </c>
      <c r="P32" s="1">
        <f t="shared" si="12"/>
        <v>0</v>
      </c>
      <c r="Q32" s="17">
        <f t="shared" si="13"/>
        <v>0</v>
      </c>
      <c r="R32" s="17">
        <f t="shared" si="5"/>
        <v>0</v>
      </c>
      <c r="S32" s="17">
        <f>(Resumen!$C$10*(Resumen!$C$24)*(1+Incmat)^2)*$C32</f>
        <v>0</v>
      </c>
      <c r="T32" s="21">
        <f t="shared" si="6"/>
        <v>0</v>
      </c>
      <c r="U32" s="17">
        <f t="shared" si="7"/>
        <v>0</v>
      </c>
      <c r="V32" s="17">
        <f t="shared" si="8"/>
        <v>0</v>
      </c>
      <c r="W32" s="17">
        <f t="shared" si="14"/>
        <v>5.8207660913467407E-11</v>
      </c>
      <c r="X32" s="15" t="str">
        <f>+IF(B32="","",Resumen!$C$34)</f>
        <v/>
      </c>
      <c r="Y32" s="16">
        <f t="shared" si="1"/>
        <v>0</v>
      </c>
      <c r="Z32" s="20">
        <f t="shared" si="9"/>
        <v>0</v>
      </c>
      <c r="AA32" s="20">
        <f t="shared" si="10"/>
        <v>0</v>
      </c>
      <c r="AB32" s="20">
        <f>+IF(Resumen!$C$8="no",0,W32*((1+10%)^(0.0833333333333333)-1))</f>
        <v>0</v>
      </c>
    </row>
    <row r="33" spans="1:28" x14ac:dyDescent="0.35">
      <c r="A33">
        <f t="shared" si="11"/>
        <v>32</v>
      </c>
      <c r="B33" t="str">
        <f>+IF(A33&gt;Resumen!$C$40,"",A33)</f>
        <v/>
      </c>
      <c r="C33" s="1">
        <f>+IFERROR(HLOOKUP($B33,Resumen!$F$3:$AM$10,8,0),0)</f>
        <v>0</v>
      </c>
      <c r="D33" s="1">
        <f>+IFERROR(HLOOKUP($B33,Resumen!$F$3:$AM$12,10),0)</f>
        <v>0</v>
      </c>
      <c r="E33" s="1">
        <f>+IF(B33=Resumen!$C$38*6-6,1,0)</f>
        <v>0</v>
      </c>
      <c r="F33" s="1">
        <f>+IFERROR(HLOOKUP($B33,Resumen!$F$3:$AM$14,12),0)</f>
        <v>0</v>
      </c>
      <c r="G33" s="17">
        <f t="shared" si="15"/>
        <v>5.8207660913467407E-11</v>
      </c>
      <c r="H33" s="17">
        <f>IF(X33="",0,IF(F33=0,ROUND(SUM(J$2:J33)*X33,2),0))</f>
        <v>0</v>
      </c>
      <c r="I33" s="17">
        <f t="shared" si="0"/>
        <v>0</v>
      </c>
      <c r="J33" s="17">
        <f>(Resumen!$C$10*(1-Resumen!$C$24)*(1+Incmat)^2)*C33</f>
        <v>0</v>
      </c>
      <c r="K33" s="17">
        <f>+IF(F33=1,PMT(X33,(Resumen!$C$36+Resumen!$C$26+Resumen!$C$14*6-B33+1),-Amortizacion!G33),0)</f>
        <v>0</v>
      </c>
      <c r="L33" s="17">
        <f t="shared" si="3"/>
        <v>0</v>
      </c>
      <c r="M33" s="17">
        <f>+IF(Resumen!$C$20="no",H33,0)</f>
        <v>0</v>
      </c>
      <c r="N33" s="17">
        <f t="shared" si="4"/>
        <v>5.8207660913467407E-11</v>
      </c>
      <c r="O33" s="17">
        <f>+IF(AND(Resumen!$C$18="SI",Amortizacion!E33=1),SUM($H$2:J33)*25%,0)</f>
        <v>0</v>
      </c>
      <c r="P33" s="1">
        <f t="shared" si="12"/>
        <v>0</v>
      </c>
      <c r="Q33" s="17">
        <f t="shared" si="13"/>
        <v>0</v>
      </c>
      <c r="R33" s="17">
        <f t="shared" si="5"/>
        <v>0</v>
      </c>
      <c r="S33" s="17">
        <f>(Resumen!$C$10*(Resumen!$C$24)*(1+Incmat)^2)*$C33</f>
        <v>0</v>
      </c>
      <c r="T33" s="21">
        <f t="shared" si="6"/>
        <v>0</v>
      </c>
      <c r="U33" s="17">
        <f t="shared" si="7"/>
        <v>0</v>
      </c>
      <c r="V33" s="17">
        <f t="shared" si="8"/>
        <v>0</v>
      </c>
      <c r="W33" s="17">
        <f t="shared" si="14"/>
        <v>5.8207660913467407E-11</v>
      </c>
      <c r="X33" s="15" t="str">
        <f>+IF(B33="","",Resumen!$C$34)</f>
        <v/>
      </c>
      <c r="Y33" s="16">
        <f t="shared" si="1"/>
        <v>0</v>
      </c>
      <c r="Z33" s="20">
        <f t="shared" si="9"/>
        <v>0</v>
      </c>
      <c r="AA33" s="20">
        <f t="shared" si="10"/>
        <v>0</v>
      </c>
      <c r="AB33" s="20">
        <f>+IF(Resumen!$C$8="no",0,W33*((1+10%)^(0.0833333333333333)-1))</f>
        <v>0</v>
      </c>
    </row>
    <row r="34" spans="1:28" x14ac:dyDescent="0.35">
      <c r="A34">
        <f t="shared" si="11"/>
        <v>33</v>
      </c>
      <c r="B34" t="str">
        <f>+IF(A34&gt;Resumen!$C$40,"",A34)</f>
        <v/>
      </c>
      <c r="C34" s="1">
        <f>+IFERROR(HLOOKUP($B34,Resumen!$F$3:$AM$10,8,0),0)</f>
        <v>0</v>
      </c>
      <c r="D34" s="1">
        <f>+IFERROR(HLOOKUP($B34,Resumen!$F$3:$AM$12,10),0)</f>
        <v>0</v>
      </c>
      <c r="E34" s="1">
        <f>+IF(B34=Resumen!$C$38*6-6,1,0)</f>
        <v>0</v>
      </c>
      <c r="F34" s="1">
        <f>+IFERROR(HLOOKUP($B34,Resumen!$F$3:$AM$14,12),0)</f>
        <v>0</v>
      </c>
      <c r="G34" s="17">
        <f t="shared" si="15"/>
        <v>5.8207660913467407E-11</v>
      </c>
      <c r="H34" s="17">
        <f>IF(X34="",0,IF(F34=0,ROUND(SUM(J$2:J34)*X34,2),0))</f>
        <v>0</v>
      </c>
      <c r="I34" s="17">
        <f t="shared" si="0"/>
        <v>0</v>
      </c>
      <c r="J34" s="17">
        <f>(Resumen!$C$10*(1-Resumen!$C$24)*(1+Incmat)^2)*C34</f>
        <v>0</v>
      </c>
      <c r="K34" s="17">
        <f>+IF(F34=1,PMT(X34,(Resumen!$C$36+Resumen!$C$26+Resumen!$C$14*6-B34+1),-Amortizacion!G34),0)</f>
        <v>0</v>
      </c>
      <c r="L34" s="17">
        <f t="shared" si="3"/>
        <v>0</v>
      </c>
      <c r="M34" s="17">
        <f>+IF(Resumen!$C$20="no",H34,0)</f>
        <v>0</v>
      </c>
      <c r="N34" s="17">
        <f t="shared" si="4"/>
        <v>5.8207660913467407E-11</v>
      </c>
      <c r="O34" s="17">
        <f>+IF(AND(Resumen!$C$18="SI",Amortizacion!E34=1),SUM($H$2:J34)*25%,0)</f>
        <v>0</v>
      </c>
      <c r="P34" s="1">
        <f t="shared" si="12"/>
        <v>0</v>
      </c>
      <c r="Q34" s="17">
        <f t="shared" si="13"/>
        <v>0</v>
      </c>
      <c r="R34" s="17">
        <f t="shared" si="5"/>
        <v>0</v>
      </c>
      <c r="S34" s="17">
        <f>(Resumen!$C$10*(Resumen!$C$24)*(1+Incmat)^2)*$C34</f>
        <v>0</v>
      </c>
      <c r="T34" s="21">
        <f t="shared" si="6"/>
        <v>0</v>
      </c>
      <c r="U34" s="17">
        <f t="shared" si="7"/>
        <v>0</v>
      </c>
      <c r="V34" s="17">
        <f t="shared" si="8"/>
        <v>0</v>
      </c>
      <c r="W34" s="17">
        <f t="shared" si="14"/>
        <v>5.8207660913467407E-11</v>
      </c>
      <c r="X34" s="15" t="str">
        <f>+IF(B34="","",Resumen!$C$34)</f>
        <v/>
      </c>
      <c r="Y34" s="16">
        <f t="shared" si="1"/>
        <v>0</v>
      </c>
      <c r="Z34" s="20">
        <f t="shared" si="9"/>
        <v>0</v>
      </c>
      <c r="AA34" s="20">
        <f t="shared" si="10"/>
        <v>0</v>
      </c>
      <c r="AB34" s="20">
        <f>+IF(Resumen!$C$8="no",0,W34*((1+10%)^(0.0833333333333333)-1))</f>
        <v>0</v>
      </c>
    </row>
    <row r="35" spans="1:28" x14ac:dyDescent="0.35">
      <c r="A35">
        <f t="shared" si="11"/>
        <v>34</v>
      </c>
      <c r="B35" t="str">
        <f>+IF(A35&gt;Resumen!$C$40,"",A35)</f>
        <v/>
      </c>
      <c r="C35" s="1">
        <f>+IFERROR(HLOOKUP($B35,Resumen!$F$3:$AM$10,8,0),0)</f>
        <v>0</v>
      </c>
      <c r="D35" s="1">
        <f>+IFERROR(HLOOKUP($B35,Resumen!$F$3:$AM$12,10),0)</f>
        <v>0</v>
      </c>
      <c r="E35" s="1">
        <f>+IF(B35=Resumen!$C$38*6-6,1,0)</f>
        <v>0</v>
      </c>
      <c r="F35" s="1">
        <f>+IFERROR(HLOOKUP($B35,Resumen!$F$3:$AM$14,12),0)</f>
        <v>0</v>
      </c>
      <c r="G35" s="17">
        <f t="shared" si="15"/>
        <v>5.8207660913467407E-11</v>
      </c>
      <c r="H35" s="17">
        <f>IF(X35="",0,IF(F35=0,ROUND(SUM(J$2:J35)*X35,2),0))</f>
        <v>0</v>
      </c>
      <c r="I35" s="17">
        <f t="shared" si="0"/>
        <v>0</v>
      </c>
      <c r="J35" s="17">
        <f>(Resumen!$C$10*(1-Resumen!$C$24)*(1+Incmat)^2)*C35</f>
        <v>0</v>
      </c>
      <c r="K35" s="17">
        <f>+IF(F35=1,PMT(X35,(Resumen!$C$36+Resumen!$C$26+Resumen!$C$14*6-B35+1),-Amortizacion!G35),0)</f>
        <v>0</v>
      </c>
      <c r="L35" s="17">
        <f t="shared" si="3"/>
        <v>0</v>
      </c>
      <c r="M35" s="17">
        <f>+IF(Resumen!$C$20="no",H35,0)</f>
        <v>0</v>
      </c>
      <c r="N35" s="17">
        <f t="shared" si="4"/>
        <v>5.8207660913467407E-11</v>
      </c>
      <c r="O35" s="17">
        <f>+IF(AND(Resumen!$C$18="SI",Amortizacion!E35=1),SUM($H$2:J35)*25%,0)</f>
        <v>0</v>
      </c>
      <c r="P35" s="1">
        <f t="shared" si="12"/>
        <v>0</v>
      </c>
      <c r="Q35" s="17">
        <f t="shared" si="13"/>
        <v>0</v>
      </c>
      <c r="R35" s="17">
        <f t="shared" si="5"/>
        <v>0</v>
      </c>
      <c r="S35" s="17">
        <f>(Resumen!$C$10*(Resumen!$C$24)*(1+Incmat)^2)*$C35</f>
        <v>0</v>
      </c>
      <c r="T35" s="21">
        <f t="shared" si="6"/>
        <v>0</v>
      </c>
      <c r="U35" s="17">
        <f t="shared" si="7"/>
        <v>0</v>
      </c>
      <c r="V35" s="17">
        <f t="shared" si="8"/>
        <v>0</v>
      </c>
      <c r="W35" s="17">
        <f t="shared" si="14"/>
        <v>5.8207660913467407E-11</v>
      </c>
      <c r="X35" s="15" t="str">
        <f>+IF(B35="","",Resumen!$C$34)</f>
        <v/>
      </c>
      <c r="Y35" s="16">
        <f t="shared" si="1"/>
        <v>0</v>
      </c>
      <c r="Z35" s="20">
        <f t="shared" si="9"/>
        <v>0</v>
      </c>
      <c r="AA35" s="20">
        <f t="shared" si="10"/>
        <v>0</v>
      </c>
      <c r="AB35" s="20">
        <f>+IF(Resumen!$C$8="no",0,W35*((1+10%)^(0.0833333333333333)-1))</f>
        <v>0</v>
      </c>
    </row>
    <row r="36" spans="1:28" x14ac:dyDescent="0.35">
      <c r="A36">
        <f t="shared" si="11"/>
        <v>35</v>
      </c>
      <c r="B36" t="str">
        <f>+IF(A36&gt;Resumen!$C$40,"",A36)</f>
        <v/>
      </c>
      <c r="C36" s="1">
        <f>+IFERROR(HLOOKUP($B36,Resumen!$F$3:$AM$10,8,0),0)</f>
        <v>0</v>
      </c>
      <c r="D36" s="1">
        <f>+IFERROR(HLOOKUP($B36,Resumen!$F$3:$AM$12,10),0)</f>
        <v>0</v>
      </c>
      <c r="E36" s="1">
        <f>+IF(B36=Resumen!$C$38*6-6,1,0)</f>
        <v>0</v>
      </c>
      <c r="F36" s="1">
        <f>+IFERROR(HLOOKUP($B36,Resumen!$F$3:$AM$14,12),0)</f>
        <v>0</v>
      </c>
      <c r="G36" s="17">
        <f t="shared" si="15"/>
        <v>5.8207660913467407E-11</v>
      </c>
      <c r="H36" s="17">
        <f>IF(X36="",0,IF(F36=0,ROUND(SUM(J$2:J36)*X36,2),0))</f>
        <v>0</v>
      </c>
      <c r="I36" s="17">
        <f t="shared" si="0"/>
        <v>0</v>
      </c>
      <c r="J36" s="17">
        <f>(Resumen!$C$10*(1-Resumen!$C$24)*(1+Incmat)^2)*C36</f>
        <v>0</v>
      </c>
      <c r="K36" s="17">
        <f>+IF(F36=1,PMT(X36,(Resumen!$C$36+Resumen!$C$26+Resumen!$C$14*6-B36+1),-Amortizacion!G36),0)</f>
        <v>0</v>
      </c>
      <c r="L36" s="17">
        <f t="shared" si="3"/>
        <v>0</v>
      </c>
      <c r="M36" s="17">
        <f>+IF(Resumen!$C$20="no",H36,0)</f>
        <v>0</v>
      </c>
      <c r="N36" s="17">
        <f t="shared" si="4"/>
        <v>5.8207660913467407E-11</v>
      </c>
      <c r="O36" s="17">
        <f>+IF(AND(Resumen!$C$18="SI",Amortizacion!E36=1),SUM($H$2:J36)*25%,0)</f>
        <v>0</v>
      </c>
      <c r="P36" s="1">
        <f t="shared" si="12"/>
        <v>0</v>
      </c>
      <c r="Q36" s="17">
        <f t="shared" si="13"/>
        <v>0</v>
      </c>
      <c r="R36" s="17">
        <f t="shared" si="5"/>
        <v>0</v>
      </c>
      <c r="S36" s="17">
        <f>(Resumen!$C$10*(Resumen!$C$24)*(1+Incmat)^2)*$C36</f>
        <v>0</v>
      </c>
      <c r="T36" s="21">
        <f t="shared" si="6"/>
        <v>0</v>
      </c>
      <c r="U36" s="17">
        <f t="shared" si="7"/>
        <v>0</v>
      </c>
      <c r="V36" s="17">
        <f t="shared" si="8"/>
        <v>0</v>
      </c>
      <c r="W36" s="17">
        <f t="shared" si="14"/>
        <v>5.8207660913467407E-11</v>
      </c>
      <c r="X36" s="15" t="str">
        <f>+IF(B36="","",Resumen!$C$34)</f>
        <v/>
      </c>
      <c r="Y36" s="16">
        <f t="shared" si="1"/>
        <v>0</v>
      </c>
      <c r="Z36" s="20">
        <f t="shared" si="9"/>
        <v>0</v>
      </c>
      <c r="AA36" s="20">
        <f t="shared" si="10"/>
        <v>0</v>
      </c>
      <c r="AB36" s="20">
        <f>+IF(Resumen!$C$8="no",0,W36*((1+10%)^(0.0833333333333333)-1))</f>
        <v>0</v>
      </c>
    </row>
    <row r="37" spans="1:28" x14ac:dyDescent="0.35">
      <c r="A37">
        <f t="shared" si="11"/>
        <v>36</v>
      </c>
      <c r="B37" t="str">
        <f>+IF(A37&gt;Resumen!$C$40,"",A37)</f>
        <v/>
      </c>
      <c r="C37" s="1">
        <f>+IFERROR(HLOOKUP($B37,Resumen!$F$3:$AM$10,8,0),0)</f>
        <v>0</v>
      </c>
      <c r="D37" s="1">
        <f>+IFERROR(HLOOKUP($B37,Resumen!$F$3:$AM$12,10),0)</f>
        <v>0</v>
      </c>
      <c r="E37" s="1">
        <f>+IF(B37=Resumen!$C$38*6-6,1,0)</f>
        <v>0</v>
      </c>
      <c r="F37" s="1">
        <f>+IFERROR(HLOOKUP($B37,Resumen!$F$3:$AM$14,12),0)</f>
        <v>0</v>
      </c>
      <c r="G37" s="17">
        <f t="shared" si="15"/>
        <v>5.8207660913467407E-11</v>
      </c>
      <c r="H37" s="17">
        <f>IF(X37="",0,IF(F37=0,ROUND(SUM(J$2:J37)*X37,2),0))</f>
        <v>0</v>
      </c>
      <c r="I37" s="17">
        <f t="shared" si="0"/>
        <v>0</v>
      </c>
      <c r="J37" s="17">
        <f>(Resumen!$C$10*(1-Resumen!$C$24)*(1+Incmat)^2)*C37</f>
        <v>0</v>
      </c>
      <c r="K37" s="17">
        <f>+IF(F37=1,PMT(X37,(Resumen!$C$36+Resumen!$C$26+Resumen!$C$14*6-B37+1),-Amortizacion!G37),0)</f>
        <v>0</v>
      </c>
      <c r="L37" s="17">
        <f t="shared" si="3"/>
        <v>0</v>
      </c>
      <c r="M37" s="17">
        <f>+IF(Resumen!$C$20="no",H37,0)</f>
        <v>0</v>
      </c>
      <c r="N37" s="17">
        <f t="shared" si="4"/>
        <v>5.8207660913467407E-11</v>
      </c>
      <c r="O37" s="17">
        <f>+IF(AND(Resumen!$C$18="SI",Amortizacion!E37=1),SUM($H$2:J37)*25%,0)</f>
        <v>0</v>
      </c>
      <c r="P37" s="1">
        <f t="shared" si="12"/>
        <v>0</v>
      </c>
      <c r="Q37" s="17">
        <f t="shared" si="13"/>
        <v>0</v>
      </c>
      <c r="R37" s="17">
        <f t="shared" si="5"/>
        <v>0</v>
      </c>
      <c r="S37" s="17">
        <f>(Resumen!$C$10*(Resumen!$C$24)*(1+Incmat)^2)*$C37</f>
        <v>0</v>
      </c>
      <c r="T37" s="21">
        <f t="shared" si="6"/>
        <v>0</v>
      </c>
      <c r="U37" s="17">
        <f t="shared" si="7"/>
        <v>0</v>
      </c>
      <c r="V37" s="17">
        <f t="shared" si="8"/>
        <v>0</v>
      </c>
      <c r="W37" s="17">
        <f t="shared" si="14"/>
        <v>5.8207660913467407E-11</v>
      </c>
      <c r="X37" s="15" t="str">
        <f>+IF(B37="","",Resumen!$C$34)</f>
        <v/>
      </c>
      <c r="Y37" s="16">
        <f t="shared" si="1"/>
        <v>0</v>
      </c>
      <c r="Z37" s="20">
        <f t="shared" si="9"/>
        <v>0</v>
      </c>
      <c r="AA37" s="20">
        <f t="shared" si="10"/>
        <v>0</v>
      </c>
      <c r="AB37" s="20">
        <f>+IF(Resumen!$C$8="no",0,W37*((1+10%)^(0.0833333333333333)-1))</f>
        <v>0</v>
      </c>
    </row>
    <row r="38" spans="1:28" x14ac:dyDescent="0.35">
      <c r="A38">
        <f t="shared" si="11"/>
        <v>37</v>
      </c>
      <c r="B38" t="str">
        <f>+IF(A38&gt;Resumen!$C$40,"",A38)</f>
        <v/>
      </c>
      <c r="C38" s="1">
        <f>+IFERROR(HLOOKUP($B38,Resumen!$F$3:$AM$10,8,0),0)</f>
        <v>0</v>
      </c>
      <c r="D38" s="1">
        <f>+IFERROR(HLOOKUP($B38,Resumen!$F$3:$AM$12,10),0)</f>
        <v>0</v>
      </c>
      <c r="E38" s="1">
        <f>+IF(B38=Resumen!$C$38*6-6,1,0)</f>
        <v>0</v>
      </c>
      <c r="F38" s="1">
        <f>+IFERROR(HLOOKUP($B38,Resumen!$F$3:$AM$14,12),0)</f>
        <v>0</v>
      </c>
      <c r="G38" s="17">
        <f t="shared" si="15"/>
        <v>5.8207660913467407E-11</v>
      </c>
      <c r="H38" s="17">
        <f>IF(X38="",0,IF(F38=0,ROUND(SUM(J$2:J38)*X38,2),0))</f>
        <v>0</v>
      </c>
      <c r="I38" s="17">
        <f t="shared" si="0"/>
        <v>0</v>
      </c>
      <c r="J38" s="17">
        <f>(Resumen!$C$10*(1-Resumen!$C$24)*(1+Incmat)^3)*C38</f>
        <v>0</v>
      </c>
      <c r="K38" s="17">
        <f>+IF(F38=1,PMT(X38,(Resumen!$C$36+Resumen!$C$26+Resumen!$C$14*6-B38+1),-Amortizacion!G38),0)</f>
        <v>0</v>
      </c>
      <c r="L38" s="17">
        <f t="shared" si="3"/>
        <v>0</v>
      </c>
      <c r="M38" s="17">
        <f>+IF(Resumen!$C$20="no",H38,0)</f>
        <v>0</v>
      </c>
      <c r="N38" s="17">
        <f t="shared" si="4"/>
        <v>5.8207660913467407E-11</v>
      </c>
      <c r="O38" s="17">
        <f>+IF(AND(Resumen!$C$18="SI",Amortizacion!E38=1),SUM($H$2:J38)*25%,0)</f>
        <v>0</v>
      </c>
      <c r="P38" s="1">
        <f t="shared" si="12"/>
        <v>0</v>
      </c>
      <c r="Q38" s="17">
        <f t="shared" si="13"/>
        <v>0</v>
      </c>
      <c r="R38" s="17">
        <f t="shared" si="5"/>
        <v>0</v>
      </c>
      <c r="S38" s="17">
        <f>(Resumen!$C$10*(Resumen!$C$24)*(1+Incmat)^3)*$C38</f>
        <v>0</v>
      </c>
      <c r="T38" s="21">
        <f t="shared" si="6"/>
        <v>0</v>
      </c>
      <c r="U38" s="17">
        <f t="shared" si="7"/>
        <v>0</v>
      </c>
      <c r="V38" s="17">
        <f t="shared" si="8"/>
        <v>0</v>
      </c>
      <c r="W38" s="17">
        <f t="shared" si="14"/>
        <v>5.8207660913467407E-11</v>
      </c>
      <c r="X38" s="15" t="str">
        <f>+IF(B38="","",Resumen!$C$34)</f>
        <v/>
      </c>
      <c r="Y38" s="16">
        <f t="shared" si="1"/>
        <v>0</v>
      </c>
      <c r="Z38" s="20">
        <f t="shared" si="9"/>
        <v>0</v>
      </c>
      <c r="AA38" s="20">
        <f t="shared" si="10"/>
        <v>0</v>
      </c>
      <c r="AB38" s="20">
        <f>+IF(Resumen!$C$8="no",0,W38*((1+10%)^(0.0833333333333333)-1))</f>
        <v>0</v>
      </c>
    </row>
    <row r="39" spans="1:28" x14ac:dyDescent="0.35">
      <c r="A39">
        <f t="shared" si="11"/>
        <v>38</v>
      </c>
      <c r="B39" t="str">
        <f>+IF(A39&gt;Resumen!$C$40,"",A39)</f>
        <v/>
      </c>
      <c r="C39" s="1">
        <f>+IFERROR(HLOOKUP($B39,Resumen!$F$3:$AM$10,8,0),0)</f>
        <v>0</v>
      </c>
      <c r="D39" s="1">
        <f>+IFERROR(HLOOKUP($B39,Resumen!$F$3:$AM$12,10),0)</f>
        <v>0</v>
      </c>
      <c r="E39" s="1">
        <f>+IF(B39=Resumen!$C$38*6-6,1,0)</f>
        <v>0</v>
      </c>
      <c r="F39" s="1">
        <f>+IFERROR(HLOOKUP($B39,Resumen!$F$3:$AM$14,12),0)</f>
        <v>0</v>
      </c>
      <c r="G39" s="17">
        <f t="shared" si="15"/>
        <v>5.8207660913467407E-11</v>
      </c>
      <c r="H39" s="17">
        <f>IF(X39="",0,IF(F39=0,ROUND(SUM(J$2:J39)*X39,2),0))</f>
        <v>0</v>
      </c>
      <c r="I39" s="17">
        <f t="shared" si="0"/>
        <v>0</v>
      </c>
      <c r="J39" s="17">
        <f>(Resumen!$C$10*(1-Resumen!$C$24)*(1+Incmat)^3)*C39</f>
        <v>0</v>
      </c>
      <c r="K39" s="17">
        <f>+IF(F39=1,PMT(X39,(Resumen!$C$36+Resumen!$C$26+Resumen!$C$14*6-B39+1),-Amortizacion!G39),0)</f>
        <v>0</v>
      </c>
      <c r="L39" s="17">
        <f t="shared" si="3"/>
        <v>0</v>
      </c>
      <c r="M39" s="17">
        <f>+IF(Resumen!$C$20="no",H39,0)</f>
        <v>0</v>
      </c>
      <c r="N39" s="17">
        <f t="shared" si="4"/>
        <v>5.8207660913467407E-11</v>
      </c>
      <c r="O39" s="17">
        <f>+IF(AND(Resumen!$C$18="SI",Amortizacion!E39=1),SUM($H$2:J39)*25%,0)</f>
        <v>0</v>
      </c>
      <c r="P39" s="1">
        <f t="shared" si="12"/>
        <v>0</v>
      </c>
      <c r="Q39" s="17">
        <f t="shared" si="13"/>
        <v>0</v>
      </c>
      <c r="R39" s="17">
        <f t="shared" si="5"/>
        <v>0</v>
      </c>
      <c r="S39" s="17">
        <f>(Resumen!$C$10*(Resumen!$C$24)*(1+Incmat)^3)*$C39</f>
        <v>0</v>
      </c>
      <c r="T39" s="21">
        <f t="shared" si="6"/>
        <v>0</v>
      </c>
      <c r="U39" s="17">
        <f t="shared" si="7"/>
        <v>0</v>
      </c>
      <c r="V39" s="17">
        <f t="shared" si="8"/>
        <v>0</v>
      </c>
      <c r="W39" s="17">
        <f t="shared" si="14"/>
        <v>5.8207660913467407E-11</v>
      </c>
      <c r="X39" s="15" t="str">
        <f>+IF(B39="","",Resumen!$C$34)</f>
        <v/>
      </c>
      <c r="Y39" s="16">
        <f t="shared" si="1"/>
        <v>0</v>
      </c>
      <c r="Z39" s="20">
        <f t="shared" si="9"/>
        <v>0</v>
      </c>
      <c r="AA39" s="20">
        <f t="shared" si="10"/>
        <v>0</v>
      </c>
      <c r="AB39" s="20">
        <f>+IF(Resumen!$C$8="no",0,W39*((1+10%)^(0.0833333333333333)-1))</f>
        <v>0</v>
      </c>
    </row>
    <row r="40" spans="1:28" x14ac:dyDescent="0.35">
      <c r="A40">
        <f t="shared" si="11"/>
        <v>39</v>
      </c>
      <c r="B40" t="str">
        <f>+IF(A40&gt;Resumen!$C$40,"",A40)</f>
        <v/>
      </c>
      <c r="C40" s="1">
        <f>+IFERROR(HLOOKUP($B40,Resumen!$F$3:$AM$10,8,0),0)</f>
        <v>0</v>
      </c>
      <c r="D40" s="1">
        <f>+IFERROR(HLOOKUP($B40,Resumen!$F$3:$AM$12,10),0)</f>
        <v>0</v>
      </c>
      <c r="E40" s="1">
        <f>+IF(B40=Resumen!$C$38*6-6,1,0)</f>
        <v>0</v>
      </c>
      <c r="F40" s="1">
        <f>+IFERROR(HLOOKUP($B40,Resumen!$F$3:$AM$14,12),0)</f>
        <v>0</v>
      </c>
      <c r="G40" s="17">
        <f t="shared" si="15"/>
        <v>5.8207660913467407E-11</v>
      </c>
      <c r="H40" s="17">
        <f>IF(X40="",0,IF(F40=0,ROUND(SUM(J$2:J40)*X40,2),0))</f>
        <v>0</v>
      </c>
      <c r="I40" s="17">
        <f t="shared" si="0"/>
        <v>0</v>
      </c>
      <c r="J40" s="17">
        <f>(Resumen!$C$10*(1-Resumen!$C$24)*(1+Incmat)^3)*C40</f>
        <v>0</v>
      </c>
      <c r="K40" s="17">
        <f>+IF(F40=1,PMT(X40,(Resumen!$C$36+Resumen!$C$26+Resumen!$C$14*6-B40+1),-Amortizacion!G40),0)</f>
        <v>0</v>
      </c>
      <c r="L40" s="17">
        <f t="shared" si="3"/>
        <v>0</v>
      </c>
      <c r="M40" s="17">
        <f>+IF(Resumen!$C$20="no",H40,0)</f>
        <v>0</v>
      </c>
      <c r="N40" s="17">
        <f t="shared" si="4"/>
        <v>5.8207660913467407E-11</v>
      </c>
      <c r="O40" s="17">
        <f>+IF(AND(Resumen!$C$18="SI",Amortizacion!E40=1),SUM($H$2:J40)*25%,0)</f>
        <v>0</v>
      </c>
      <c r="P40" s="1">
        <f t="shared" si="12"/>
        <v>0</v>
      </c>
      <c r="Q40" s="17">
        <f t="shared" si="13"/>
        <v>0</v>
      </c>
      <c r="R40" s="17">
        <f t="shared" si="5"/>
        <v>0</v>
      </c>
      <c r="S40" s="17">
        <f>(Resumen!$C$10*(Resumen!$C$24)*(1+Incmat)^3)*$C40</f>
        <v>0</v>
      </c>
      <c r="T40" s="21">
        <f t="shared" si="6"/>
        <v>0</v>
      </c>
      <c r="U40" s="17">
        <f t="shared" si="7"/>
        <v>0</v>
      </c>
      <c r="V40" s="17">
        <f t="shared" si="8"/>
        <v>0</v>
      </c>
      <c r="W40" s="17">
        <f t="shared" si="14"/>
        <v>5.8207660913467407E-11</v>
      </c>
      <c r="X40" s="15" t="str">
        <f>+IF(B40="","",Resumen!$C$34)</f>
        <v/>
      </c>
      <c r="Y40" s="16">
        <f t="shared" si="1"/>
        <v>0</v>
      </c>
      <c r="Z40" s="20">
        <f t="shared" si="9"/>
        <v>0</v>
      </c>
      <c r="AA40" s="20">
        <f t="shared" si="10"/>
        <v>0</v>
      </c>
      <c r="AB40" s="20">
        <f>+IF(Resumen!$C$8="no",0,W40*((1+10%)^(0.0833333333333333)-1))</f>
        <v>0</v>
      </c>
    </row>
    <row r="41" spans="1:28" x14ac:dyDescent="0.35">
      <c r="A41">
        <f t="shared" si="11"/>
        <v>40</v>
      </c>
      <c r="B41" t="str">
        <f>+IF(A41&gt;Resumen!$C$40,"",A41)</f>
        <v/>
      </c>
      <c r="C41" s="1">
        <f>+IFERROR(HLOOKUP($B41,Resumen!$F$3:$AM$10,8,0),0)</f>
        <v>0</v>
      </c>
      <c r="D41" s="1">
        <f>+IFERROR(HLOOKUP($B41,Resumen!$F$3:$AM$12,10),0)</f>
        <v>0</v>
      </c>
      <c r="E41" s="1">
        <f>+IF(B41=Resumen!$C$38*6-6,1,0)</f>
        <v>0</v>
      </c>
      <c r="F41" s="1">
        <f>+IFERROR(HLOOKUP($B41,Resumen!$F$3:$AM$14,12),0)</f>
        <v>0</v>
      </c>
      <c r="G41" s="17">
        <f t="shared" si="15"/>
        <v>5.8207660913467407E-11</v>
      </c>
      <c r="H41" s="17">
        <f>IF(X41="",0,IF(F41=0,ROUND(SUM(J$2:J41)*X41,2),0))</f>
        <v>0</v>
      </c>
      <c r="I41" s="17">
        <f t="shared" si="0"/>
        <v>0</v>
      </c>
      <c r="J41" s="17">
        <f>(Resumen!$C$10*(1-Resumen!$C$24)*(1+Incmat)^3)*C41</f>
        <v>0</v>
      </c>
      <c r="K41" s="17">
        <f>+IF(F41=1,PMT(X41,(Resumen!$C$36+Resumen!$C$26+Resumen!$C$14*6-B41+1),-Amortizacion!G41),0)</f>
        <v>0</v>
      </c>
      <c r="L41" s="17">
        <f t="shared" si="3"/>
        <v>0</v>
      </c>
      <c r="M41" s="17">
        <f>+IF(Resumen!$C$20="no",H41,0)</f>
        <v>0</v>
      </c>
      <c r="N41" s="17">
        <f t="shared" si="4"/>
        <v>5.8207660913467407E-11</v>
      </c>
      <c r="O41" s="17">
        <f>+IF(AND(Resumen!$C$18="SI",Amortizacion!E41=1),SUM($H$2:J41)*25%,0)</f>
        <v>0</v>
      </c>
      <c r="P41" s="1">
        <f t="shared" si="12"/>
        <v>0</v>
      </c>
      <c r="Q41" s="17">
        <f t="shared" si="13"/>
        <v>0</v>
      </c>
      <c r="R41" s="17">
        <f t="shared" si="5"/>
        <v>0</v>
      </c>
      <c r="S41" s="17">
        <f>(Resumen!$C$10*(Resumen!$C$24)*(1+Incmat)^3)*$C41</f>
        <v>0</v>
      </c>
      <c r="T41" s="21">
        <f t="shared" si="6"/>
        <v>0</v>
      </c>
      <c r="U41" s="17">
        <f t="shared" si="7"/>
        <v>0</v>
      </c>
      <c r="V41" s="17">
        <f t="shared" si="8"/>
        <v>0</v>
      </c>
      <c r="W41" s="17">
        <f t="shared" si="14"/>
        <v>5.8207660913467407E-11</v>
      </c>
      <c r="X41" s="15" t="str">
        <f>+IF(B41="","",Resumen!$C$34)</f>
        <v/>
      </c>
      <c r="Y41" s="16">
        <f t="shared" si="1"/>
        <v>0</v>
      </c>
      <c r="Z41" s="20">
        <f t="shared" si="9"/>
        <v>0</v>
      </c>
      <c r="AA41" s="20">
        <f t="shared" si="10"/>
        <v>0</v>
      </c>
      <c r="AB41" s="20">
        <f>+IF(Resumen!$C$8="no",0,W41*((1+10%)^(0.0833333333333333)-1))</f>
        <v>0</v>
      </c>
    </row>
    <row r="42" spans="1:28" x14ac:dyDescent="0.35">
      <c r="A42">
        <f t="shared" si="11"/>
        <v>41</v>
      </c>
      <c r="B42" t="str">
        <f>+IF(A42&gt;Resumen!$C$40,"",A42)</f>
        <v/>
      </c>
      <c r="C42" s="1">
        <f>+IFERROR(HLOOKUP($B42,Resumen!$F$3:$AM$10,8,0),0)</f>
        <v>0</v>
      </c>
      <c r="D42" s="1">
        <f>+IFERROR(HLOOKUP($B42,Resumen!$F$3:$AM$12,10),0)</f>
        <v>0</v>
      </c>
      <c r="E42" s="1">
        <f>+IF(B42=Resumen!$C$38*6-6,1,0)</f>
        <v>0</v>
      </c>
      <c r="F42" s="1">
        <f>+IFERROR(HLOOKUP($B42,Resumen!$F$3:$AM$14,12),0)</f>
        <v>0</v>
      </c>
      <c r="G42" s="17">
        <f t="shared" si="15"/>
        <v>5.8207660913467407E-11</v>
      </c>
      <c r="H42" s="17">
        <f>IF(X42="",0,IF(F42=0,ROUND(SUM(J$2:J42)*X42,2),0))</f>
        <v>0</v>
      </c>
      <c r="I42" s="17">
        <f t="shared" si="0"/>
        <v>0</v>
      </c>
      <c r="J42" s="17">
        <f>(Resumen!$C$10*(1-Resumen!$C$24)*(1+Incmat)^3)*C42</f>
        <v>0</v>
      </c>
      <c r="K42" s="17">
        <f>+IF(F42=1,PMT(X42,(Resumen!$C$36+Resumen!$C$26+Resumen!$C$14*6-B42+1),-Amortizacion!G42),0)</f>
        <v>0</v>
      </c>
      <c r="L42" s="17">
        <f t="shared" si="3"/>
        <v>0</v>
      </c>
      <c r="M42" s="17">
        <f>+IF(Resumen!$C$20="no",H42,0)</f>
        <v>0</v>
      </c>
      <c r="N42" s="17">
        <f t="shared" si="4"/>
        <v>5.8207660913467407E-11</v>
      </c>
      <c r="O42" s="17">
        <f>+IF(AND(Resumen!$C$18="SI",Amortizacion!E42=1),SUM($H$2:J42)*25%,0)</f>
        <v>0</v>
      </c>
      <c r="P42" s="1">
        <f t="shared" si="12"/>
        <v>0</v>
      </c>
      <c r="Q42" s="17">
        <f t="shared" si="13"/>
        <v>0</v>
      </c>
      <c r="R42" s="17">
        <f t="shared" si="5"/>
        <v>0</v>
      </c>
      <c r="S42" s="17">
        <f>(Resumen!$C$10*(Resumen!$C$24)*(1+Incmat)^3)*$C42</f>
        <v>0</v>
      </c>
      <c r="T42" s="21">
        <f t="shared" si="6"/>
        <v>0</v>
      </c>
      <c r="U42" s="17">
        <f t="shared" si="7"/>
        <v>0</v>
      </c>
      <c r="V42" s="17">
        <f t="shared" si="8"/>
        <v>0</v>
      </c>
      <c r="W42" s="17">
        <f t="shared" si="14"/>
        <v>5.8207660913467407E-11</v>
      </c>
      <c r="X42" s="15" t="str">
        <f>+IF(B42="","",Resumen!$C$34)</f>
        <v/>
      </c>
      <c r="Y42" s="16">
        <f t="shared" si="1"/>
        <v>0</v>
      </c>
      <c r="Z42" s="20">
        <f t="shared" si="9"/>
        <v>0</v>
      </c>
      <c r="AA42" s="20">
        <f t="shared" si="10"/>
        <v>0</v>
      </c>
      <c r="AB42" s="20">
        <f>+IF(Resumen!$C$8="no",0,W42*((1+10%)^(0.0833333333333333)-1))</f>
        <v>0</v>
      </c>
    </row>
    <row r="43" spans="1:28" x14ac:dyDescent="0.35">
      <c r="A43">
        <f t="shared" si="11"/>
        <v>42</v>
      </c>
      <c r="B43" t="str">
        <f>+IF(A43&gt;Resumen!$C$40,"",A43)</f>
        <v/>
      </c>
      <c r="C43" s="1">
        <f>+IFERROR(HLOOKUP($B43,Resumen!$F$3:$AM$10,8,0),0)</f>
        <v>0</v>
      </c>
      <c r="D43" s="1">
        <f>+IFERROR(HLOOKUP($B43,Resumen!$F$3:$AM$12,10),0)</f>
        <v>0</v>
      </c>
      <c r="E43" s="1">
        <f>+IF(B43=Resumen!$C$38*6-6,1,0)</f>
        <v>0</v>
      </c>
      <c r="F43" s="1">
        <f>+IFERROR(HLOOKUP($B43,Resumen!$F$3:$AM$14,12),0)</f>
        <v>0</v>
      </c>
      <c r="G43" s="17">
        <f t="shared" si="15"/>
        <v>5.8207660913467407E-11</v>
      </c>
      <c r="H43" s="17">
        <f>IF(X43="",0,IF(F43=0,ROUND(SUM(J$2:J43)*X43,2),0))</f>
        <v>0</v>
      </c>
      <c r="I43" s="17">
        <f t="shared" si="0"/>
        <v>0</v>
      </c>
      <c r="J43" s="17">
        <f>(Resumen!$C$10*(1-Resumen!$C$24)*(1+Incmat)^3)*C43</f>
        <v>0</v>
      </c>
      <c r="K43" s="17">
        <f>+IF(F43=1,PMT(X43,(Resumen!$C$36+Resumen!$C$26+Resumen!$C$14*6-B43+1),-Amortizacion!G43),0)</f>
        <v>0</v>
      </c>
      <c r="L43" s="17">
        <f t="shared" si="3"/>
        <v>0</v>
      </c>
      <c r="M43" s="17">
        <f>+IF(Resumen!$C$20="no",H43,0)</f>
        <v>0</v>
      </c>
      <c r="N43" s="17">
        <f t="shared" si="4"/>
        <v>5.8207660913467407E-11</v>
      </c>
      <c r="O43" s="17">
        <f>+IF(AND(Resumen!$C$18="SI",Amortizacion!E43=1),SUM($H$2:J43)*25%,0)</f>
        <v>0</v>
      </c>
      <c r="P43" s="1">
        <f t="shared" si="12"/>
        <v>0</v>
      </c>
      <c r="Q43" s="17">
        <f t="shared" si="13"/>
        <v>0</v>
      </c>
      <c r="R43" s="17">
        <f t="shared" si="5"/>
        <v>0</v>
      </c>
      <c r="S43" s="17">
        <f>(Resumen!$C$10*(Resumen!$C$24)*(1+Incmat)^3)*$C43</f>
        <v>0</v>
      </c>
      <c r="T43" s="21">
        <f t="shared" si="6"/>
        <v>0</v>
      </c>
      <c r="U43" s="17">
        <f t="shared" si="7"/>
        <v>0</v>
      </c>
      <c r="V43" s="17">
        <f t="shared" si="8"/>
        <v>0</v>
      </c>
      <c r="W43" s="17">
        <f t="shared" si="14"/>
        <v>5.8207660913467407E-11</v>
      </c>
      <c r="X43" s="15" t="str">
        <f>+IF(B43="","",Resumen!$C$34)</f>
        <v/>
      </c>
      <c r="Y43" s="16">
        <f t="shared" si="1"/>
        <v>0</v>
      </c>
      <c r="Z43" s="20">
        <f t="shared" si="9"/>
        <v>0</v>
      </c>
      <c r="AA43" s="20">
        <f t="shared" si="10"/>
        <v>0</v>
      </c>
      <c r="AB43" s="20">
        <f>+IF(Resumen!$C$8="no",0,W43*((1+10%)^(0.0833333333333333)-1))</f>
        <v>0</v>
      </c>
    </row>
    <row r="44" spans="1:28" x14ac:dyDescent="0.35">
      <c r="A44">
        <f t="shared" si="11"/>
        <v>43</v>
      </c>
      <c r="B44" t="str">
        <f>+IF(A44&gt;Resumen!$C$40,"",A44)</f>
        <v/>
      </c>
      <c r="C44" s="1">
        <f>+IFERROR(HLOOKUP($B44,Resumen!$F$3:$AM$10,8,0),0)</f>
        <v>0</v>
      </c>
      <c r="D44" s="1">
        <f>+IFERROR(HLOOKUP($B44,Resumen!$F$3:$AM$12,10),0)</f>
        <v>0</v>
      </c>
      <c r="E44" s="1">
        <f>+IF(B44=Resumen!$C$38*6-6,1,0)</f>
        <v>0</v>
      </c>
      <c r="F44" s="1">
        <f>+IFERROR(HLOOKUP($B44,Resumen!$F$3:$AM$14,12),0)</f>
        <v>0</v>
      </c>
      <c r="G44" s="17">
        <f t="shared" si="15"/>
        <v>5.8207660913467407E-11</v>
      </c>
      <c r="H44" s="17">
        <f>IF(X44="",0,IF(F44=0,ROUND(SUM(J$2:J44)*X44,2),0))</f>
        <v>0</v>
      </c>
      <c r="I44" s="17">
        <f t="shared" si="0"/>
        <v>0</v>
      </c>
      <c r="J44" s="17">
        <f>(Resumen!$C$10*(1-Resumen!$C$24)*(1+Incmat)^3)*C44</f>
        <v>0</v>
      </c>
      <c r="K44" s="17">
        <f>+IF(F44=1,PMT(X44,(Resumen!$C$36+Resumen!$C$26+Resumen!$C$14*6-B44+1),-Amortizacion!G44),0)</f>
        <v>0</v>
      </c>
      <c r="L44" s="17">
        <f t="shared" si="3"/>
        <v>0</v>
      </c>
      <c r="M44" s="17">
        <f>+IF(Resumen!$C$20="no",H44,0)</f>
        <v>0</v>
      </c>
      <c r="N44" s="17">
        <f t="shared" si="4"/>
        <v>5.8207660913467407E-11</v>
      </c>
      <c r="O44" s="17">
        <f>+IF(AND(Resumen!$C$18="SI",Amortizacion!E44=1),SUM($H$2:J44)*25%,0)</f>
        <v>0</v>
      </c>
      <c r="P44" s="1">
        <f t="shared" si="12"/>
        <v>0</v>
      </c>
      <c r="Q44" s="17">
        <f t="shared" si="13"/>
        <v>0</v>
      </c>
      <c r="R44" s="17">
        <f t="shared" si="5"/>
        <v>0</v>
      </c>
      <c r="S44" s="17">
        <f>(Resumen!$C$10*(Resumen!$C$24)*(1+Incmat)^3)*$C44</f>
        <v>0</v>
      </c>
      <c r="T44" s="21">
        <f t="shared" si="6"/>
        <v>0</v>
      </c>
      <c r="U44" s="17">
        <f t="shared" si="7"/>
        <v>0</v>
      </c>
      <c r="V44" s="17">
        <f t="shared" si="8"/>
        <v>0</v>
      </c>
      <c r="W44" s="17">
        <f t="shared" si="14"/>
        <v>5.8207660913467407E-11</v>
      </c>
      <c r="X44" s="15" t="str">
        <f>+IF(B44="","",Resumen!$C$34)</f>
        <v/>
      </c>
      <c r="Y44" s="16">
        <f t="shared" si="1"/>
        <v>0</v>
      </c>
      <c r="Z44" s="20">
        <f t="shared" si="9"/>
        <v>0</v>
      </c>
      <c r="AA44" s="20">
        <f t="shared" si="10"/>
        <v>0</v>
      </c>
      <c r="AB44" s="20">
        <f>+IF(Resumen!$C$8="no",0,W44*((1+10%)^(0.0833333333333333)-1))</f>
        <v>0</v>
      </c>
    </row>
    <row r="45" spans="1:28" x14ac:dyDescent="0.35">
      <c r="A45">
        <f t="shared" si="11"/>
        <v>44</v>
      </c>
      <c r="B45" t="str">
        <f>+IF(A45&gt;Resumen!$C$40,"",A45)</f>
        <v/>
      </c>
      <c r="C45" s="1">
        <f>+IFERROR(HLOOKUP($B45,Resumen!$F$3:$AM$10,8,0),0)</f>
        <v>0</v>
      </c>
      <c r="D45" s="1">
        <f>+IFERROR(HLOOKUP($B45,Resumen!$F$3:$AM$12,10),0)</f>
        <v>0</v>
      </c>
      <c r="E45" s="1">
        <f>+IF(B45=Resumen!$C$38*6-6,1,0)</f>
        <v>0</v>
      </c>
      <c r="F45" s="1">
        <f>+IFERROR(HLOOKUP($B45,Resumen!$F$3:$AM$14,12),0)</f>
        <v>0</v>
      </c>
      <c r="G45" s="17">
        <f t="shared" si="15"/>
        <v>5.8207660913467407E-11</v>
      </c>
      <c r="H45" s="17">
        <f>IF(X45="",0,IF(F45=0,ROUND(SUM(J$2:J45)*X45,2),0))</f>
        <v>0</v>
      </c>
      <c r="I45" s="17">
        <f t="shared" si="0"/>
        <v>0</v>
      </c>
      <c r="J45" s="17">
        <f>(Resumen!$C$10*(1-Resumen!$C$24)*(1+Incmat)^3)*C45</f>
        <v>0</v>
      </c>
      <c r="K45" s="17">
        <f>+IF(F45=1,PMT(X45,(Resumen!$C$36+Resumen!$C$26+Resumen!$C$14*6-B45+1),-Amortizacion!G45),0)</f>
        <v>0</v>
      </c>
      <c r="L45" s="17">
        <f t="shared" si="3"/>
        <v>0</v>
      </c>
      <c r="M45" s="17">
        <f>+IF(Resumen!$C$20="no",H45,0)</f>
        <v>0</v>
      </c>
      <c r="N45" s="17">
        <f t="shared" si="4"/>
        <v>5.8207660913467407E-11</v>
      </c>
      <c r="O45" s="17">
        <f>+IF(AND(Resumen!$C$18="SI",Amortizacion!E45=1),SUM($H$2:J45)*25%,0)</f>
        <v>0</v>
      </c>
      <c r="P45" s="1">
        <f t="shared" si="12"/>
        <v>0</v>
      </c>
      <c r="Q45" s="17">
        <f t="shared" si="13"/>
        <v>0</v>
      </c>
      <c r="R45" s="17">
        <f t="shared" si="5"/>
        <v>0</v>
      </c>
      <c r="S45" s="17">
        <f>(Resumen!$C$10*(Resumen!$C$24)*(1+Incmat)^3)*$C45</f>
        <v>0</v>
      </c>
      <c r="T45" s="21">
        <f t="shared" si="6"/>
        <v>0</v>
      </c>
      <c r="U45" s="17">
        <f t="shared" si="7"/>
        <v>0</v>
      </c>
      <c r="V45" s="17">
        <f t="shared" si="8"/>
        <v>0</v>
      </c>
      <c r="W45" s="17">
        <f t="shared" si="14"/>
        <v>5.8207660913467407E-11</v>
      </c>
      <c r="X45" s="15" t="str">
        <f>+IF(B45="","",Resumen!$C$34)</f>
        <v/>
      </c>
      <c r="Y45" s="16">
        <f t="shared" si="1"/>
        <v>0</v>
      </c>
      <c r="Z45" s="20">
        <f t="shared" si="9"/>
        <v>0</v>
      </c>
      <c r="AA45" s="20">
        <f t="shared" si="10"/>
        <v>0</v>
      </c>
      <c r="AB45" s="20">
        <f>+IF(Resumen!$C$8="no",0,W45*((1+10%)^(0.0833333333333333)-1))</f>
        <v>0</v>
      </c>
    </row>
    <row r="46" spans="1:28" x14ac:dyDescent="0.35">
      <c r="A46">
        <f t="shared" si="11"/>
        <v>45</v>
      </c>
      <c r="B46" t="str">
        <f>+IF(A46&gt;Resumen!$C$40,"",A46)</f>
        <v/>
      </c>
      <c r="C46" s="1">
        <f>+IFERROR(HLOOKUP($B46,Resumen!$F$3:$AM$10,8,0),0)</f>
        <v>0</v>
      </c>
      <c r="D46" s="1">
        <f>+IFERROR(HLOOKUP($B46,Resumen!$F$3:$AM$12,10),0)</f>
        <v>0</v>
      </c>
      <c r="E46" s="1">
        <f>+IF(B46=Resumen!$C$38*6-6,1,0)</f>
        <v>0</v>
      </c>
      <c r="F46" s="1">
        <f>+IFERROR(HLOOKUP($B46,Resumen!$F$3:$AM$14,12),0)</f>
        <v>0</v>
      </c>
      <c r="G46" s="17">
        <f t="shared" si="15"/>
        <v>5.8207660913467407E-11</v>
      </c>
      <c r="H46" s="17">
        <f>IF(X46="",0,IF(F46=0,ROUND(SUM(J$2:J46)*X46,2),0))</f>
        <v>0</v>
      </c>
      <c r="I46" s="17">
        <f t="shared" si="0"/>
        <v>0</v>
      </c>
      <c r="J46" s="17">
        <f>(Resumen!$C$10*(1-Resumen!$C$24)*(1+Incmat)^3)*C46</f>
        <v>0</v>
      </c>
      <c r="K46" s="17">
        <f>+IF(F46=1,PMT(X46,(Resumen!$C$36+Resumen!$C$26+Resumen!$C$14*6-B46+1),-Amortizacion!G46),0)</f>
        <v>0</v>
      </c>
      <c r="L46" s="17">
        <f t="shared" si="3"/>
        <v>0</v>
      </c>
      <c r="M46" s="17">
        <f>+IF(Resumen!$C$20="no",H46,0)</f>
        <v>0</v>
      </c>
      <c r="N46" s="17">
        <f t="shared" si="4"/>
        <v>5.8207660913467407E-11</v>
      </c>
      <c r="O46" s="17">
        <f>+IF(AND(Resumen!$C$18="SI",Amortizacion!E46=1),SUM($H$2:J46)*25%,0)</f>
        <v>0</v>
      </c>
      <c r="P46" s="1">
        <f t="shared" si="12"/>
        <v>0</v>
      </c>
      <c r="Q46" s="17">
        <f t="shared" si="13"/>
        <v>0</v>
      </c>
      <c r="R46" s="17">
        <f t="shared" si="5"/>
        <v>0</v>
      </c>
      <c r="S46" s="17">
        <f>(Resumen!$C$10*(Resumen!$C$24)*(1+Incmat)^3)*$C46</f>
        <v>0</v>
      </c>
      <c r="T46" s="21">
        <f t="shared" si="6"/>
        <v>0</v>
      </c>
      <c r="U46" s="17">
        <f t="shared" si="7"/>
        <v>0</v>
      </c>
      <c r="V46" s="17">
        <f t="shared" si="8"/>
        <v>0</v>
      </c>
      <c r="W46" s="17">
        <f t="shared" si="14"/>
        <v>5.8207660913467407E-11</v>
      </c>
      <c r="X46" s="15" t="str">
        <f>+IF(B46="","",Resumen!$C$34)</f>
        <v/>
      </c>
      <c r="Y46" s="16">
        <f t="shared" si="1"/>
        <v>0</v>
      </c>
      <c r="Z46" s="20">
        <f t="shared" si="9"/>
        <v>0</v>
      </c>
      <c r="AA46" s="20">
        <f t="shared" si="10"/>
        <v>0</v>
      </c>
      <c r="AB46" s="20">
        <f>+IF(Resumen!$C$8="no",0,W46*((1+10%)^(0.0833333333333333)-1))</f>
        <v>0</v>
      </c>
    </row>
    <row r="47" spans="1:28" x14ac:dyDescent="0.35">
      <c r="A47">
        <f t="shared" si="11"/>
        <v>46</v>
      </c>
      <c r="B47" t="str">
        <f>+IF(A47&gt;Resumen!$C$40,"",A47)</f>
        <v/>
      </c>
      <c r="C47" s="1">
        <f>+IFERROR(HLOOKUP($B47,Resumen!$F$3:$AM$10,8,0),0)</f>
        <v>0</v>
      </c>
      <c r="D47" s="1">
        <f>+IFERROR(HLOOKUP($B47,Resumen!$F$3:$AM$12,10),0)</f>
        <v>0</v>
      </c>
      <c r="E47" s="1">
        <f>+IF(B47=Resumen!$C$38*6-6,1,0)</f>
        <v>0</v>
      </c>
      <c r="F47" s="1">
        <f>+IFERROR(HLOOKUP($B47,Resumen!$F$3:$AM$14,12),0)</f>
        <v>0</v>
      </c>
      <c r="G47" s="17">
        <f t="shared" si="15"/>
        <v>5.8207660913467407E-11</v>
      </c>
      <c r="H47" s="17">
        <f>IF(X47="",0,IF(F47=0,ROUND(SUM(J$2:J47)*X47,2),0))</f>
        <v>0</v>
      </c>
      <c r="I47" s="17">
        <f t="shared" si="0"/>
        <v>0</v>
      </c>
      <c r="J47" s="17">
        <f>(Resumen!$C$10*(1-Resumen!$C$24)*(1+Incmat)^3)*C47</f>
        <v>0</v>
      </c>
      <c r="K47" s="17">
        <f>+IF(F47=1,PMT(X47,(Resumen!$C$36+Resumen!$C$26+Resumen!$C$14*6-B47+1),-Amortizacion!G47),0)</f>
        <v>0</v>
      </c>
      <c r="L47" s="17">
        <f t="shared" si="3"/>
        <v>0</v>
      </c>
      <c r="M47" s="17">
        <f>+IF(Resumen!$C$20="no",H47,0)</f>
        <v>0</v>
      </c>
      <c r="N47" s="17">
        <f t="shared" si="4"/>
        <v>5.8207660913467407E-11</v>
      </c>
      <c r="O47" s="17">
        <f>+IF(AND(Resumen!$C$18="SI",Amortizacion!E47=1),SUM($H$2:J47)*25%,0)</f>
        <v>0</v>
      </c>
      <c r="P47" s="1">
        <f t="shared" si="12"/>
        <v>0</v>
      </c>
      <c r="Q47" s="17">
        <f t="shared" si="13"/>
        <v>0</v>
      </c>
      <c r="R47" s="17">
        <f t="shared" si="5"/>
        <v>0</v>
      </c>
      <c r="S47" s="17">
        <f>(Resumen!$C$10*(Resumen!$C$24)*(1+Incmat)^3)*$C47</f>
        <v>0</v>
      </c>
      <c r="T47" s="21">
        <f t="shared" si="6"/>
        <v>0</v>
      </c>
      <c r="U47" s="17">
        <f t="shared" si="7"/>
        <v>0</v>
      </c>
      <c r="V47" s="17">
        <f t="shared" si="8"/>
        <v>0</v>
      </c>
      <c r="W47" s="17">
        <f t="shared" si="14"/>
        <v>5.8207660913467407E-11</v>
      </c>
      <c r="X47" s="15" t="str">
        <f>+IF(B47="","",Resumen!$C$34)</f>
        <v/>
      </c>
      <c r="Y47" s="16">
        <f t="shared" si="1"/>
        <v>0</v>
      </c>
      <c r="Z47" s="20">
        <f t="shared" si="9"/>
        <v>0</v>
      </c>
      <c r="AA47" s="20">
        <f t="shared" si="10"/>
        <v>0</v>
      </c>
      <c r="AB47" s="20">
        <f>+IF(Resumen!$C$8="no",0,W47*((1+10%)^(0.0833333333333333)-1))</f>
        <v>0</v>
      </c>
    </row>
    <row r="48" spans="1:28" x14ac:dyDescent="0.35">
      <c r="A48">
        <f t="shared" si="11"/>
        <v>47</v>
      </c>
      <c r="B48" t="str">
        <f>+IF(A48&gt;Resumen!$C$40,"",A48)</f>
        <v/>
      </c>
      <c r="C48" s="1">
        <f>+IFERROR(HLOOKUP($B48,Resumen!$F$3:$AM$10,8,0),0)</f>
        <v>0</v>
      </c>
      <c r="D48" s="1">
        <f>+IFERROR(HLOOKUP($B48,Resumen!$F$3:$AM$12,10),0)</f>
        <v>0</v>
      </c>
      <c r="E48" s="1">
        <f>+IF(B48=Resumen!$C$38*6-6,1,0)</f>
        <v>0</v>
      </c>
      <c r="F48" s="1">
        <f>+IFERROR(HLOOKUP($B48,Resumen!$F$3:$AM$14,12),0)</f>
        <v>0</v>
      </c>
      <c r="G48" s="17">
        <f t="shared" si="15"/>
        <v>5.8207660913467407E-11</v>
      </c>
      <c r="H48" s="17">
        <f>IF(X48="",0,IF(F48=0,ROUND(SUM(J$2:J48)*X48,2),0))</f>
        <v>0</v>
      </c>
      <c r="I48" s="17">
        <f t="shared" si="0"/>
        <v>0</v>
      </c>
      <c r="J48" s="17">
        <f>(Resumen!$C$10*(1-Resumen!$C$24)*(1+Incmat)^3)*C48</f>
        <v>0</v>
      </c>
      <c r="K48" s="17">
        <f>+IF(F48=1,PMT(X48,(Resumen!$C$36+Resumen!$C$26+Resumen!$C$14*6-B48+1),-Amortizacion!G48),0)</f>
        <v>0</v>
      </c>
      <c r="L48" s="17">
        <f t="shared" si="3"/>
        <v>0</v>
      </c>
      <c r="M48" s="17">
        <f>+IF(Resumen!$C$20="no",H48,0)</f>
        <v>0</v>
      </c>
      <c r="N48" s="17">
        <f t="shared" si="4"/>
        <v>5.8207660913467407E-11</v>
      </c>
      <c r="O48" s="17">
        <f>+IF(AND(Resumen!$C$18="SI",Amortizacion!E48=1),SUM($H$2:J48)*25%,0)</f>
        <v>0</v>
      </c>
      <c r="P48" s="1">
        <f t="shared" si="12"/>
        <v>0</v>
      </c>
      <c r="Q48" s="17">
        <f t="shared" si="13"/>
        <v>0</v>
      </c>
      <c r="R48" s="17">
        <f t="shared" si="5"/>
        <v>0</v>
      </c>
      <c r="S48" s="17">
        <f>(Resumen!$C$10*(Resumen!$C$24)*(1+Incmat)^3)*$C48</f>
        <v>0</v>
      </c>
      <c r="T48" s="21">
        <f t="shared" si="6"/>
        <v>0</v>
      </c>
      <c r="U48" s="17">
        <f t="shared" si="7"/>
        <v>0</v>
      </c>
      <c r="V48" s="17">
        <f t="shared" si="8"/>
        <v>0</v>
      </c>
      <c r="W48" s="17">
        <f t="shared" si="14"/>
        <v>5.8207660913467407E-11</v>
      </c>
      <c r="X48" s="15" t="str">
        <f>+IF(B48="","",Resumen!$C$34)</f>
        <v/>
      </c>
      <c r="Y48" s="16">
        <f t="shared" si="1"/>
        <v>0</v>
      </c>
      <c r="Z48" s="20">
        <f t="shared" si="9"/>
        <v>0</v>
      </c>
      <c r="AA48" s="20">
        <f t="shared" si="10"/>
        <v>0</v>
      </c>
      <c r="AB48" s="20">
        <f>+IF(Resumen!$C$8="no",0,W48*((1+10%)^(0.0833333333333333)-1))</f>
        <v>0</v>
      </c>
    </row>
    <row r="49" spans="1:28" x14ac:dyDescent="0.35">
      <c r="A49">
        <f t="shared" si="11"/>
        <v>48</v>
      </c>
      <c r="B49" t="str">
        <f>+IF(A49&gt;Resumen!$C$40,"",A49)</f>
        <v/>
      </c>
      <c r="C49" s="1">
        <f>+IFERROR(HLOOKUP($B49,Resumen!$F$3:$AM$10,8,0),0)</f>
        <v>0</v>
      </c>
      <c r="D49" s="1">
        <f>+IFERROR(HLOOKUP($B49,Resumen!$F$3:$AM$12,10),0)</f>
        <v>0</v>
      </c>
      <c r="E49" s="1">
        <f>+IF(B49=Resumen!$C$38*6-6,1,0)</f>
        <v>0</v>
      </c>
      <c r="F49" s="1">
        <f>+IFERROR(HLOOKUP($B49,Resumen!$F$3:$AM$14,12),0)</f>
        <v>0</v>
      </c>
      <c r="G49" s="17">
        <f t="shared" si="15"/>
        <v>5.8207660913467407E-11</v>
      </c>
      <c r="H49" s="17">
        <f>IF(X49="",0,IF(F49=0,ROUND(SUM(J$2:J49)*X49,2),0))</f>
        <v>0</v>
      </c>
      <c r="I49" s="17">
        <f t="shared" si="0"/>
        <v>0</v>
      </c>
      <c r="J49" s="17">
        <f>(Resumen!$C$10*(1-Resumen!$C$24)*(1+Incmat)^3)*C49</f>
        <v>0</v>
      </c>
      <c r="K49" s="17">
        <f>+IF(F49=1,PMT(X49,(Resumen!$C$36+Resumen!$C$26+Resumen!$C$14*6-B49+1),-Amortizacion!G49),0)</f>
        <v>0</v>
      </c>
      <c r="L49" s="17">
        <f t="shared" si="3"/>
        <v>0</v>
      </c>
      <c r="M49" s="17">
        <f>+IF(Resumen!$C$20="no",H49,0)</f>
        <v>0</v>
      </c>
      <c r="N49" s="17">
        <f t="shared" si="4"/>
        <v>5.8207660913467407E-11</v>
      </c>
      <c r="O49" s="17">
        <f>+IF(AND(Resumen!$C$18="SI",Amortizacion!E49=1),SUM($H$2:J49)*25%,0)</f>
        <v>0</v>
      </c>
      <c r="P49" s="1">
        <f t="shared" si="12"/>
        <v>0</v>
      </c>
      <c r="Q49" s="17">
        <f t="shared" si="13"/>
        <v>0</v>
      </c>
      <c r="R49" s="17">
        <f t="shared" si="5"/>
        <v>0</v>
      </c>
      <c r="S49" s="17">
        <f>(Resumen!$C$10*(Resumen!$C$24)*(1+Incmat)^3)*$C49</f>
        <v>0</v>
      </c>
      <c r="T49" s="21">
        <f t="shared" si="6"/>
        <v>0</v>
      </c>
      <c r="U49" s="17">
        <f t="shared" si="7"/>
        <v>0</v>
      </c>
      <c r="V49" s="17">
        <f t="shared" si="8"/>
        <v>0</v>
      </c>
      <c r="W49" s="17">
        <f t="shared" si="14"/>
        <v>5.8207660913467407E-11</v>
      </c>
      <c r="X49" s="15" t="str">
        <f>+IF(B49="","",Resumen!$C$34)</f>
        <v/>
      </c>
      <c r="Y49" s="16">
        <f t="shared" si="1"/>
        <v>0</v>
      </c>
      <c r="Z49" s="20">
        <f t="shared" si="9"/>
        <v>0</v>
      </c>
      <c r="AA49" s="20">
        <f t="shared" si="10"/>
        <v>0</v>
      </c>
      <c r="AB49" s="20">
        <f>+IF(Resumen!$C$8="no",0,W49*((1+10%)^(0.0833333333333333)-1))</f>
        <v>0</v>
      </c>
    </row>
    <row r="50" spans="1:28" x14ac:dyDescent="0.35">
      <c r="A50">
        <f t="shared" si="11"/>
        <v>49</v>
      </c>
      <c r="B50" t="str">
        <f>+IF(A50&gt;Resumen!$C$40,"",A50)</f>
        <v/>
      </c>
      <c r="C50" s="1">
        <f>+IFERROR(HLOOKUP($B50,Resumen!$F$3:$AM$10,8,0),0)</f>
        <v>0</v>
      </c>
      <c r="D50" s="1">
        <f>+IFERROR(HLOOKUP($B50,Resumen!$F$3:$AM$12,10),0)</f>
        <v>0</v>
      </c>
      <c r="E50" s="1">
        <f>+IF(B50=Resumen!$C$38*6-6,1,0)</f>
        <v>0</v>
      </c>
      <c r="F50" s="1">
        <f>+IFERROR(HLOOKUP($B50,Resumen!$F$3:$AM$14,12),0)</f>
        <v>0</v>
      </c>
      <c r="G50" s="17">
        <f t="shared" si="15"/>
        <v>5.8207660913467407E-11</v>
      </c>
      <c r="H50" s="17">
        <f>IF(X50="",0,IF(F50=0,ROUND(SUM(J$2:J50)*X50,2),0))</f>
        <v>0</v>
      </c>
      <c r="I50" s="17">
        <f t="shared" si="0"/>
        <v>0</v>
      </c>
      <c r="J50" s="17">
        <f>(Resumen!$C$10*(1-Resumen!$C$24)*(1+Incmat)^4)*C50</f>
        <v>0</v>
      </c>
      <c r="K50" s="17">
        <f>+IF(F50=1,PMT(X50,(Resumen!$C$36+Resumen!$C$26+Resumen!$C$14*6-B50+1),-Amortizacion!G50),0)</f>
        <v>0</v>
      </c>
      <c r="L50" s="17">
        <f t="shared" si="3"/>
        <v>0</v>
      </c>
      <c r="M50" s="17">
        <f>+IF(Resumen!$C$20="no",H50,0)</f>
        <v>0</v>
      </c>
      <c r="N50" s="17">
        <f t="shared" si="4"/>
        <v>5.8207660913467407E-11</v>
      </c>
      <c r="O50" s="17">
        <f>+IF(AND(Resumen!$C$18="SI",Amortizacion!E50=1),SUM($H$2:J50)*25%,0)</f>
        <v>0</v>
      </c>
      <c r="P50" s="1">
        <f t="shared" si="12"/>
        <v>0</v>
      </c>
      <c r="Q50" s="17">
        <f t="shared" si="13"/>
        <v>0</v>
      </c>
      <c r="R50" s="17">
        <f t="shared" si="5"/>
        <v>0</v>
      </c>
      <c r="S50" s="17">
        <f>(Resumen!$C$10*(Resumen!$C$24)*(1+Incmat)^4)*$C50</f>
        <v>0</v>
      </c>
      <c r="T50" s="21">
        <f t="shared" si="6"/>
        <v>0</v>
      </c>
      <c r="U50" s="17">
        <f t="shared" si="7"/>
        <v>0</v>
      </c>
      <c r="V50" s="17">
        <f t="shared" si="8"/>
        <v>0</v>
      </c>
      <c r="W50" s="17">
        <f t="shared" si="14"/>
        <v>5.8207660913467407E-11</v>
      </c>
      <c r="X50" s="15" t="str">
        <f>+IF(B50="","",Resumen!$C$34)</f>
        <v/>
      </c>
      <c r="Y50" s="16">
        <f t="shared" si="1"/>
        <v>0</v>
      </c>
      <c r="Z50" s="20">
        <f t="shared" si="9"/>
        <v>0</v>
      </c>
      <c r="AA50" s="20">
        <f t="shared" si="10"/>
        <v>0</v>
      </c>
      <c r="AB50" s="20">
        <f>+IF(Resumen!$C$8="no",0,W50*((1+10%)^(0.0833333333333333)-1))</f>
        <v>0</v>
      </c>
    </row>
    <row r="51" spans="1:28" x14ac:dyDescent="0.35">
      <c r="A51">
        <f t="shared" si="11"/>
        <v>50</v>
      </c>
      <c r="B51" t="str">
        <f>+IF(A51&gt;Resumen!$C$40,"",A51)</f>
        <v/>
      </c>
      <c r="C51" s="1">
        <f>+IFERROR(HLOOKUP($B51,Resumen!$F$3:$AM$10,8,0),0)</f>
        <v>0</v>
      </c>
      <c r="D51" s="1">
        <f>+IFERROR(HLOOKUP($B51,Resumen!$F$3:$AM$12,10),0)</f>
        <v>0</v>
      </c>
      <c r="E51" s="1">
        <f>+IF(B51=Resumen!$C$38*6-6,1,0)</f>
        <v>0</v>
      </c>
      <c r="F51" s="1">
        <f>+IFERROR(HLOOKUP($B51,Resumen!$F$3:$AM$14,12),0)</f>
        <v>0</v>
      </c>
      <c r="G51" s="17">
        <f t="shared" si="15"/>
        <v>5.8207660913467407E-11</v>
      </c>
      <c r="H51" s="17">
        <f>IF(X51="",0,IF(F51=0,ROUND(SUM(J$2:J51)*X51,2),0))</f>
        <v>0</v>
      </c>
      <c r="I51" s="17">
        <f t="shared" si="0"/>
        <v>0</v>
      </c>
      <c r="J51" s="17">
        <f>(Resumen!$C$10*(1-Resumen!$C$24)*(1+Incmat)^4)*C51</f>
        <v>0</v>
      </c>
      <c r="K51" s="17">
        <f>+IF(F51=1,PMT(X51,(Resumen!$C$36+Resumen!$C$26+Resumen!$C$14*6-B51+1),-Amortizacion!G51),0)</f>
        <v>0</v>
      </c>
      <c r="L51" s="17">
        <f t="shared" si="3"/>
        <v>0</v>
      </c>
      <c r="M51" s="17">
        <f>+IF(Resumen!$C$20="no",H51,0)</f>
        <v>0</v>
      </c>
      <c r="N51" s="17">
        <f t="shared" si="4"/>
        <v>5.8207660913467407E-11</v>
      </c>
      <c r="O51" s="17">
        <f>+IF(AND(Resumen!$C$18="SI",Amortizacion!E51=1),SUM($H$2:J51)*25%,0)</f>
        <v>0</v>
      </c>
      <c r="P51" s="1">
        <f t="shared" si="12"/>
        <v>0</v>
      </c>
      <c r="Q51" s="17">
        <f t="shared" si="13"/>
        <v>0</v>
      </c>
      <c r="R51" s="17">
        <f t="shared" si="5"/>
        <v>0</v>
      </c>
      <c r="S51" s="17">
        <f>(Resumen!$C$10*(Resumen!$C$24)*(1+Incmat)^4)*$C51</f>
        <v>0</v>
      </c>
      <c r="T51" s="21">
        <f t="shared" si="6"/>
        <v>0</v>
      </c>
      <c r="U51" s="17">
        <f t="shared" si="7"/>
        <v>0</v>
      </c>
      <c r="V51" s="17">
        <f t="shared" si="8"/>
        <v>0</v>
      </c>
      <c r="W51" s="17">
        <f t="shared" si="14"/>
        <v>5.8207660913467407E-11</v>
      </c>
      <c r="X51" s="15" t="str">
        <f>+IF(B51="","",Resumen!$C$34)</f>
        <v/>
      </c>
      <c r="Y51" s="16">
        <f t="shared" si="1"/>
        <v>0</v>
      </c>
      <c r="Z51" s="20">
        <f t="shared" si="9"/>
        <v>0</v>
      </c>
      <c r="AA51" s="20">
        <f t="shared" si="10"/>
        <v>0</v>
      </c>
      <c r="AB51" s="20">
        <f>+IF(Resumen!$C$8="no",0,W51*((1+10%)^(0.0833333333333333)-1))</f>
        <v>0</v>
      </c>
    </row>
    <row r="52" spans="1:28" x14ac:dyDescent="0.35">
      <c r="A52">
        <f t="shared" si="11"/>
        <v>51</v>
      </c>
      <c r="B52" t="str">
        <f>+IF(A52&gt;Resumen!$C$40,"",A52)</f>
        <v/>
      </c>
      <c r="C52" s="1">
        <f>+IFERROR(HLOOKUP($B52,Resumen!$F$3:$AM$10,8,0),0)</f>
        <v>0</v>
      </c>
      <c r="D52" s="1">
        <f>+IFERROR(HLOOKUP($B52,Resumen!$F$3:$AM$12,10),0)</f>
        <v>0</v>
      </c>
      <c r="E52" s="1">
        <f>+IF(B52=Resumen!$C$38*6-6,1,0)</f>
        <v>0</v>
      </c>
      <c r="F52" s="1">
        <f>+IFERROR(HLOOKUP($B52,Resumen!$F$3:$AM$14,12),0)</f>
        <v>0</v>
      </c>
      <c r="G52" s="17">
        <f t="shared" si="15"/>
        <v>5.8207660913467407E-11</v>
      </c>
      <c r="H52" s="17">
        <f>IF(X52="",0,IF(F52=0,ROUND(SUM(J$2:J52)*X52,2),0))</f>
        <v>0</v>
      </c>
      <c r="I52" s="17">
        <f t="shared" si="0"/>
        <v>0</v>
      </c>
      <c r="J52" s="17">
        <f>(Resumen!$C$10*(1-Resumen!$C$24)*(1+Incmat)^4)*C52</f>
        <v>0</v>
      </c>
      <c r="K52" s="17">
        <f>+IF(F52=1,PMT(X52,(Resumen!$C$36+Resumen!$C$26+Resumen!$C$14*6-B52+1),-Amortizacion!G52),0)</f>
        <v>0</v>
      </c>
      <c r="L52" s="17">
        <f t="shared" si="3"/>
        <v>0</v>
      </c>
      <c r="M52" s="17">
        <f>+IF(Resumen!$C$20="no",H52,0)</f>
        <v>0</v>
      </c>
      <c r="N52" s="17">
        <f t="shared" si="4"/>
        <v>5.8207660913467407E-11</v>
      </c>
      <c r="O52" s="17">
        <f>+IF(AND(Resumen!$C$18="SI",Amortizacion!E52=1),SUM($H$2:J52)*25%,0)</f>
        <v>0</v>
      </c>
      <c r="P52" s="1">
        <f t="shared" si="12"/>
        <v>0</v>
      </c>
      <c r="Q52" s="17">
        <f t="shared" si="13"/>
        <v>0</v>
      </c>
      <c r="R52" s="17">
        <f t="shared" si="5"/>
        <v>0</v>
      </c>
      <c r="S52" s="17">
        <f>(Resumen!$C$10*(Resumen!$C$24)*(1+Incmat)^4)*$C52</f>
        <v>0</v>
      </c>
      <c r="T52" s="21">
        <f t="shared" si="6"/>
        <v>0</v>
      </c>
      <c r="U52" s="17">
        <f t="shared" si="7"/>
        <v>0</v>
      </c>
      <c r="V52" s="17">
        <f t="shared" si="8"/>
        <v>0</v>
      </c>
      <c r="W52" s="17">
        <f t="shared" si="14"/>
        <v>5.8207660913467407E-11</v>
      </c>
      <c r="X52" s="15" t="str">
        <f>+IF(B52="","",Resumen!$C$34)</f>
        <v/>
      </c>
      <c r="Y52" s="16">
        <f t="shared" si="1"/>
        <v>0</v>
      </c>
      <c r="Z52" s="20">
        <f t="shared" si="9"/>
        <v>0</v>
      </c>
      <c r="AA52" s="20">
        <f t="shared" si="10"/>
        <v>0</v>
      </c>
      <c r="AB52" s="20">
        <f>+IF(Resumen!$C$8="no",0,W52*((1+10%)^(0.0833333333333333)-1))</f>
        <v>0</v>
      </c>
    </row>
    <row r="53" spans="1:28" x14ac:dyDescent="0.35">
      <c r="A53">
        <f t="shared" si="11"/>
        <v>52</v>
      </c>
      <c r="B53" t="str">
        <f>+IF(A53&gt;Resumen!$C$40,"",A53)</f>
        <v/>
      </c>
      <c r="C53" s="1">
        <f>+IFERROR(HLOOKUP($B53,Resumen!$F$3:$AM$10,8,0),0)</f>
        <v>0</v>
      </c>
      <c r="D53" s="1">
        <f>+IFERROR(HLOOKUP($B53,Resumen!$F$3:$AM$12,10),0)</f>
        <v>0</v>
      </c>
      <c r="E53" s="1">
        <f>+IF(B53=Resumen!$C$38*6-6,1,0)</f>
        <v>0</v>
      </c>
      <c r="F53" s="1">
        <f>+IFERROR(HLOOKUP($B53,Resumen!$F$3:$AM$14,12),0)</f>
        <v>0</v>
      </c>
      <c r="G53" s="17">
        <f t="shared" si="15"/>
        <v>5.8207660913467407E-11</v>
      </c>
      <c r="H53" s="17">
        <f>IF(X53="",0,IF(F53=0,ROUND(SUM(J$2:J53)*X53,2),0))</f>
        <v>0</v>
      </c>
      <c r="I53" s="17">
        <f t="shared" si="0"/>
        <v>0</v>
      </c>
      <c r="J53" s="17">
        <f>(Resumen!$C$10*(1-Resumen!$C$24)*(1+Incmat)^4)*C53</f>
        <v>0</v>
      </c>
      <c r="K53" s="17">
        <f>+IF(F53=1,PMT(X53,(Resumen!$C$36+Resumen!$C$26+Resumen!$C$14*6-B53+1),-Amortizacion!G53),0)</f>
        <v>0</v>
      </c>
      <c r="L53" s="17">
        <f t="shared" si="3"/>
        <v>0</v>
      </c>
      <c r="M53" s="17">
        <f>+IF(Resumen!$C$20="no",H53,0)</f>
        <v>0</v>
      </c>
      <c r="N53" s="17">
        <f t="shared" si="4"/>
        <v>5.8207660913467407E-11</v>
      </c>
      <c r="O53" s="17">
        <f>+IF(AND(Resumen!$C$18="SI",Amortizacion!E53=1),SUM($H$2:J53)*25%,0)</f>
        <v>0</v>
      </c>
      <c r="P53" s="1">
        <f t="shared" si="12"/>
        <v>0</v>
      </c>
      <c r="Q53" s="17">
        <f t="shared" si="13"/>
        <v>0</v>
      </c>
      <c r="R53" s="17">
        <f t="shared" si="5"/>
        <v>0</v>
      </c>
      <c r="S53" s="17">
        <f>(Resumen!$C$10*(Resumen!$C$24)*(1+Incmat)^4)*$C53</f>
        <v>0</v>
      </c>
      <c r="T53" s="21">
        <f t="shared" si="6"/>
        <v>0</v>
      </c>
      <c r="U53" s="17">
        <f t="shared" si="7"/>
        <v>0</v>
      </c>
      <c r="V53" s="17">
        <f t="shared" si="8"/>
        <v>0</v>
      </c>
      <c r="W53" s="17">
        <f t="shared" si="14"/>
        <v>5.8207660913467407E-11</v>
      </c>
      <c r="X53" s="15" t="str">
        <f>+IF(B53="","",Resumen!$C$34)</f>
        <v/>
      </c>
      <c r="Y53" s="16">
        <f t="shared" si="1"/>
        <v>0</v>
      </c>
      <c r="Z53" s="20">
        <f t="shared" si="9"/>
        <v>0</v>
      </c>
      <c r="AA53" s="20">
        <f t="shared" si="10"/>
        <v>0</v>
      </c>
      <c r="AB53" s="20">
        <f>+IF(Resumen!$C$8="no",0,W53*((1+10%)^(0.0833333333333333)-1))</f>
        <v>0</v>
      </c>
    </row>
    <row r="54" spans="1:28" x14ac:dyDescent="0.35">
      <c r="A54">
        <f t="shared" si="11"/>
        <v>53</v>
      </c>
      <c r="B54" t="str">
        <f>+IF(A54&gt;Resumen!$C$40,"",A54)</f>
        <v/>
      </c>
      <c r="C54" s="1">
        <f>+IFERROR(HLOOKUP($B54,Resumen!$F$3:$AM$10,8,0),0)</f>
        <v>0</v>
      </c>
      <c r="D54" s="1">
        <f>+IFERROR(HLOOKUP($B54,Resumen!$F$3:$AM$12,10),0)</f>
        <v>0</v>
      </c>
      <c r="E54" s="1">
        <f>+IF(B54=Resumen!$C$38*6-6,1,0)</f>
        <v>0</v>
      </c>
      <c r="F54" s="1">
        <f>+IFERROR(HLOOKUP($B54,Resumen!$F$3:$AM$14,12),0)</f>
        <v>0</v>
      </c>
      <c r="G54" s="17">
        <f t="shared" si="15"/>
        <v>5.8207660913467407E-11</v>
      </c>
      <c r="H54" s="17">
        <f>IF(X54="",0,IF(F54=0,ROUND(SUM(J$2:J54)*X54,2),0))</f>
        <v>0</v>
      </c>
      <c r="I54" s="17">
        <f t="shared" si="0"/>
        <v>0</v>
      </c>
      <c r="J54" s="17">
        <f>(Resumen!$C$10*(1-Resumen!$C$24)*(1+Incmat)^4)*C54</f>
        <v>0</v>
      </c>
      <c r="K54" s="17">
        <f>+IF(F54=1,PMT(X54,(Resumen!$C$36+Resumen!$C$26+Resumen!$C$14*6-B54+1),-Amortizacion!G54),0)</f>
        <v>0</v>
      </c>
      <c r="L54" s="17">
        <f t="shared" si="3"/>
        <v>0</v>
      </c>
      <c r="M54" s="17">
        <f>+IF(Resumen!$C$20="no",H54,0)</f>
        <v>0</v>
      </c>
      <c r="N54" s="17">
        <f t="shared" si="4"/>
        <v>5.8207660913467407E-11</v>
      </c>
      <c r="O54" s="17">
        <f>+IF(AND(Resumen!$C$18="SI",Amortizacion!E54=1),SUM($H$2:J54)*25%,0)</f>
        <v>0</v>
      </c>
      <c r="P54" s="1">
        <f t="shared" si="12"/>
        <v>0</v>
      </c>
      <c r="Q54" s="17">
        <f t="shared" si="13"/>
        <v>0</v>
      </c>
      <c r="R54" s="17">
        <f t="shared" si="5"/>
        <v>0</v>
      </c>
      <c r="S54" s="17">
        <f>(Resumen!$C$10*(Resumen!$C$24)*(1+Incmat)^4)*$C54</f>
        <v>0</v>
      </c>
      <c r="T54" s="21">
        <f t="shared" si="6"/>
        <v>0</v>
      </c>
      <c r="U54" s="17">
        <f t="shared" si="7"/>
        <v>0</v>
      </c>
      <c r="V54" s="17">
        <f t="shared" si="8"/>
        <v>0</v>
      </c>
      <c r="W54" s="17">
        <f t="shared" si="14"/>
        <v>5.8207660913467407E-11</v>
      </c>
      <c r="X54" s="15" t="str">
        <f>+IF(B54="","",Resumen!$C$34)</f>
        <v/>
      </c>
      <c r="Y54" s="16">
        <f t="shared" si="1"/>
        <v>0</v>
      </c>
      <c r="Z54" s="20">
        <f t="shared" si="9"/>
        <v>0</v>
      </c>
      <c r="AA54" s="20">
        <f t="shared" si="10"/>
        <v>0</v>
      </c>
      <c r="AB54" s="20">
        <f>+IF(Resumen!$C$8="no",0,W54*((1+10%)^(0.0833333333333333)-1))</f>
        <v>0</v>
      </c>
    </row>
    <row r="55" spans="1:28" x14ac:dyDescent="0.35">
      <c r="A55">
        <f t="shared" si="11"/>
        <v>54</v>
      </c>
      <c r="B55" t="str">
        <f>+IF(A55&gt;Resumen!$C$40,"",A55)</f>
        <v/>
      </c>
      <c r="C55" s="1">
        <f>+IFERROR(HLOOKUP($B55,Resumen!$F$3:$AM$10,8,0),0)</f>
        <v>0</v>
      </c>
      <c r="D55" s="1">
        <f>+IFERROR(HLOOKUP($B55,Resumen!$F$3:$AM$12,10),0)</f>
        <v>0</v>
      </c>
      <c r="E55" s="1">
        <f>+IF(B55=Resumen!$C$38*6-6,1,0)</f>
        <v>0</v>
      </c>
      <c r="F55" s="1">
        <f>+IFERROR(HLOOKUP($B55,Resumen!$F$3:$AM$14,12),0)</f>
        <v>0</v>
      </c>
      <c r="G55" s="17">
        <f t="shared" si="15"/>
        <v>5.8207660913467407E-11</v>
      </c>
      <c r="H55" s="17">
        <f>IF(X55="",0,IF(F55=0,ROUND(SUM(J$2:J55)*X55,2),0))</f>
        <v>0</v>
      </c>
      <c r="I55" s="17">
        <f t="shared" si="0"/>
        <v>0</v>
      </c>
      <c r="J55" s="17">
        <f>(Resumen!$C$10*(1-Resumen!$C$24)*(1+Incmat)^4)*C55</f>
        <v>0</v>
      </c>
      <c r="K55" s="17">
        <f>+IF(F55=1,PMT(X55,(Resumen!$C$36+Resumen!$C$26+Resumen!$C$14*6-B55+1),-Amortizacion!G55),0)</f>
        <v>0</v>
      </c>
      <c r="L55" s="17">
        <f t="shared" si="3"/>
        <v>0</v>
      </c>
      <c r="M55" s="17">
        <f>+IF(Resumen!$C$20="no",H55,0)</f>
        <v>0</v>
      </c>
      <c r="N55" s="17">
        <f t="shared" si="4"/>
        <v>5.8207660913467407E-11</v>
      </c>
      <c r="O55" s="17">
        <f>+IF(AND(Resumen!$C$18="SI",Amortizacion!E55=1),SUM($H$2:J55)*25%,0)</f>
        <v>0</v>
      </c>
      <c r="P55" s="1">
        <f t="shared" si="12"/>
        <v>0</v>
      </c>
      <c r="Q55" s="17">
        <f t="shared" si="13"/>
        <v>0</v>
      </c>
      <c r="R55" s="17">
        <f t="shared" si="5"/>
        <v>0</v>
      </c>
      <c r="S55" s="17">
        <f>(Resumen!$C$10*(Resumen!$C$24)*(1+Incmat)^4)*$C55</f>
        <v>0</v>
      </c>
      <c r="T55" s="21">
        <f t="shared" si="6"/>
        <v>0</v>
      </c>
      <c r="U55" s="17">
        <f t="shared" si="7"/>
        <v>0</v>
      </c>
      <c r="V55" s="17">
        <f t="shared" si="8"/>
        <v>0</v>
      </c>
      <c r="W55" s="17">
        <f t="shared" si="14"/>
        <v>5.8207660913467407E-11</v>
      </c>
      <c r="X55" s="15" t="str">
        <f>+IF(B55="","",Resumen!$C$34)</f>
        <v/>
      </c>
      <c r="Y55" s="16">
        <f t="shared" si="1"/>
        <v>0</v>
      </c>
      <c r="Z55" s="20">
        <f t="shared" si="9"/>
        <v>0</v>
      </c>
      <c r="AA55" s="20">
        <f t="shared" si="10"/>
        <v>0</v>
      </c>
      <c r="AB55" s="20">
        <f>+IF(Resumen!$C$8="no",0,W55*((1+10%)^(0.0833333333333333)-1))</f>
        <v>0</v>
      </c>
    </row>
    <row r="56" spans="1:28" x14ac:dyDescent="0.35">
      <c r="A56">
        <f t="shared" si="11"/>
        <v>55</v>
      </c>
      <c r="B56" t="str">
        <f>+IF(A56&gt;Resumen!$C$40,"",A56)</f>
        <v/>
      </c>
      <c r="C56" s="1">
        <f>+IFERROR(HLOOKUP($B56,Resumen!$F$3:$AM$10,8,0),0)</f>
        <v>0</v>
      </c>
      <c r="D56" s="1">
        <f>+IFERROR(HLOOKUP($B56,Resumen!$F$3:$AM$12,10),0)</f>
        <v>0</v>
      </c>
      <c r="E56" s="1">
        <f>+IF(B56=Resumen!$C$38*6-6,1,0)</f>
        <v>0</v>
      </c>
      <c r="F56" s="1">
        <f>+IFERROR(HLOOKUP($B56,Resumen!$F$3:$AM$14,12),0)</f>
        <v>0</v>
      </c>
      <c r="G56" s="17">
        <f>+N55-O55</f>
        <v>5.8207660913467407E-11</v>
      </c>
      <c r="H56" s="17">
        <f>IF(X56="",0,IF(F56=0,ROUND(SUM(J$2:J56)*X56,2),0))</f>
        <v>0</v>
      </c>
      <c r="I56" s="17">
        <f t="shared" si="0"/>
        <v>0</v>
      </c>
      <c r="J56" s="17">
        <f>(Resumen!$C$10*(1-Resumen!$C$24)*(1+Incmat)^4)*C56</f>
        <v>0</v>
      </c>
      <c r="K56" s="17">
        <f>+IF(F56=1,PMT(X56,(Resumen!$C$36+Resumen!$C$26+Resumen!$C$14*6-B56+1),-Amortizacion!G56),0)</f>
        <v>0</v>
      </c>
      <c r="L56" s="17">
        <f t="shared" si="3"/>
        <v>0</v>
      </c>
      <c r="M56" s="17">
        <f>+IF(Resumen!$C$20="no",H56,0)</f>
        <v>0</v>
      </c>
      <c r="N56" s="17">
        <f t="shared" si="4"/>
        <v>5.8207660913467407E-11</v>
      </c>
      <c r="O56" s="17">
        <f>+IF(AND(Resumen!$C$18="SI",Amortizacion!E56=1),SUM($H$2:J56)*25%,0)</f>
        <v>0</v>
      </c>
      <c r="P56" s="1">
        <f t="shared" si="12"/>
        <v>0</v>
      </c>
      <c r="Q56" s="17">
        <f t="shared" si="13"/>
        <v>0</v>
      </c>
      <c r="R56" s="17">
        <f t="shared" si="5"/>
        <v>0</v>
      </c>
      <c r="S56" s="17">
        <f>(Resumen!$C$10*(Resumen!$C$24)*(1+Incmat)^4)*$C56</f>
        <v>0</v>
      </c>
      <c r="T56" s="21">
        <f t="shared" si="6"/>
        <v>0</v>
      </c>
      <c r="U56" s="17">
        <f t="shared" si="7"/>
        <v>0</v>
      </c>
      <c r="V56" s="17">
        <f t="shared" si="8"/>
        <v>0</v>
      </c>
      <c r="W56" s="17">
        <f t="shared" si="14"/>
        <v>5.8207660913467407E-11</v>
      </c>
      <c r="X56" s="15" t="str">
        <f>+IF(B56="","",Resumen!$C$34)</f>
        <v/>
      </c>
      <c r="Y56" s="16">
        <f t="shared" si="1"/>
        <v>0</v>
      </c>
      <c r="Z56" s="20">
        <f t="shared" si="9"/>
        <v>0</v>
      </c>
      <c r="AA56" s="20">
        <f t="shared" si="10"/>
        <v>0</v>
      </c>
      <c r="AB56" s="20">
        <f>+IF(Resumen!$C$8="no",0,W56*((1+10%)^(0.0833333333333333)-1))</f>
        <v>0</v>
      </c>
    </row>
    <row r="57" spans="1:28" x14ac:dyDescent="0.35">
      <c r="A57">
        <f t="shared" si="11"/>
        <v>56</v>
      </c>
      <c r="B57" t="str">
        <f>+IF(A57&gt;Resumen!$C$40,"",A57)</f>
        <v/>
      </c>
      <c r="C57" s="1">
        <f>+IFERROR(HLOOKUP($B57,Resumen!$F$3:$AM$10,8,0),0)</f>
        <v>0</v>
      </c>
      <c r="D57" s="1">
        <f>+IFERROR(HLOOKUP($B57,Resumen!$F$3:$AM$12,10),0)</f>
        <v>0</v>
      </c>
      <c r="E57" s="1">
        <f>+IF(B57=Resumen!$C$38*6-6,1,0)</f>
        <v>0</v>
      </c>
      <c r="F57" s="1">
        <f>+IFERROR(HLOOKUP($B57,Resumen!$F$3:$AM$14,12),0)</f>
        <v>0</v>
      </c>
      <c r="G57" s="17">
        <f t="shared" si="15"/>
        <v>5.8207660913467407E-11</v>
      </c>
      <c r="H57" s="17">
        <f>IF(X57="",0,IF(F57=0,ROUND(SUM(J$2:J57)*X57,2),0))</f>
        <v>0</v>
      </c>
      <c r="I57" s="17">
        <f t="shared" si="0"/>
        <v>0</v>
      </c>
      <c r="J57" s="17">
        <f>(Resumen!$C$10*(1-Resumen!$C$24)*(1+Incmat)^4)*C57</f>
        <v>0</v>
      </c>
      <c r="K57" s="17">
        <f>+IF(F57=1,PMT(X57,(Resumen!$C$36+Resumen!$C$26+Resumen!$C$14*6-B57+1),-Amortizacion!G57),0)</f>
        <v>0</v>
      </c>
      <c r="L57" s="17">
        <f t="shared" si="3"/>
        <v>0</v>
      </c>
      <c r="M57" s="17">
        <f>+IF(Resumen!$C$20="no",H57,0)</f>
        <v>0</v>
      </c>
      <c r="N57" s="17">
        <f t="shared" si="4"/>
        <v>5.8207660913467407E-11</v>
      </c>
      <c r="O57" s="17">
        <f>+IF(AND(Resumen!$C$18="SI",Amortizacion!E57=1),SUM($H$2:J57)*25%,0)</f>
        <v>0</v>
      </c>
      <c r="P57" s="1">
        <f t="shared" si="12"/>
        <v>0</v>
      </c>
      <c r="Q57" s="17">
        <f t="shared" si="13"/>
        <v>0</v>
      </c>
      <c r="R57" s="17">
        <f t="shared" si="5"/>
        <v>0</v>
      </c>
      <c r="S57" s="17">
        <f>(Resumen!$C$10*(Resumen!$C$24)*(1+Incmat)^4)*$C57</f>
        <v>0</v>
      </c>
      <c r="T57" s="21">
        <f t="shared" si="6"/>
        <v>0</v>
      </c>
      <c r="U57" s="17">
        <f t="shared" si="7"/>
        <v>0</v>
      </c>
      <c r="V57" s="17">
        <f t="shared" si="8"/>
        <v>0</v>
      </c>
      <c r="W57" s="17">
        <f t="shared" si="14"/>
        <v>5.8207660913467407E-11</v>
      </c>
      <c r="X57" s="15" t="str">
        <f>+IF(B57="","",Resumen!$C$34)</f>
        <v/>
      </c>
      <c r="Y57" s="16">
        <f t="shared" si="1"/>
        <v>0</v>
      </c>
      <c r="Z57" s="20">
        <f t="shared" si="9"/>
        <v>0</v>
      </c>
      <c r="AA57" s="20">
        <f t="shared" si="10"/>
        <v>0</v>
      </c>
      <c r="AB57" s="20">
        <f>+IF(Resumen!$C$8="no",0,W57*((1+10%)^(0.0833333333333333)-1))</f>
        <v>0</v>
      </c>
    </row>
    <row r="58" spans="1:28" x14ac:dyDescent="0.35">
      <c r="A58">
        <f t="shared" si="11"/>
        <v>57</v>
      </c>
      <c r="B58" t="str">
        <f>+IF(A58&gt;Resumen!$C$40,"",A58)</f>
        <v/>
      </c>
      <c r="C58" s="1">
        <f>+IFERROR(HLOOKUP($B58,Resumen!$F$3:$AM$10,8,0),0)</f>
        <v>0</v>
      </c>
      <c r="D58" s="1">
        <f>+IFERROR(HLOOKUP($B58,Resumen!$F$3:$AM$12,10),0)</f>
        <v>0</v>
      </c>
      <c r="E58" s="1">
        <f>+IF(B58=Resumen!$C$38*6-6,1,0)</f>
        <v>0</v>
      </c>
      <c r="F58" s="1">
        <f>+IFERROR(HLOOKUP($B58,Resumen!$F$3:$AM$14,12),0)</f>
        <v>0</v>
      </c>
      <c r="G58" s="17">
        <f t="shared" si="15"/>
        <v>5.8207660913467407E-11</v>
      </c>
      <c r="H58" s="17">
        <f>IF(X58="",0,IF(F58=0,ROUND(SUM(J$2:J58)*X58,2),0))</f>
        <v>0</v>
      </c>
      <c r="I58" s="17">
        <f t="shared" si="0"/>
        <v>0</v>
      </c>
      <c r="J58" s="17">
        <f>(Resumen!$C$10*(1-Resumen!$C$24)*(1+Incmat)^4)*C58</f>
        <v>0</v>
      </c>
      <c r="K58" s="17">
        <f>+IF(F58=1,PMT(X58,(Resumen!$C$36+Resumen!$C$26+Resumen!$C$14*6-B58+1),-Amortizacion!G58),0)</f>
        <v>0</v>
      </c>
      <c r="L58" s="17">
        <f t="shared" si="3"/>
        <v>0</v>
      </c>
      <c r="M58" s="17">
        <f>+IF(Resumen!$C$20="no",H58,0)</f>
        <v>0</v>
      </c>
      <c r="N58" s="17">
        <f t="shared" si="4"/>
        <v>5.8207660913467407E-11</v>
      </c>
      <c r="O58" s="17">
        <f>+IF(AND(Resumen!$C$18="SI",Amortizacion!E58=1),SUM($H$2:J58)*25%,0)</f>
        <v>0</v>
      </c>
      <c r="P58" s="1">
        <f t="shared" si="12"/>
        <v>0</v>
      </c>
      <c r="Q58" s="17">
        <f t="shared" si="13"/>
        <v>0</v>
      </c>
      <c r="R58" s="17">
        <f t="shared" si="5"/>
        <v>0</v>
      </c>
      <c r="S58" s="17">
        <f>(Resumen!$C$10*(Resumen!$C$24)*(1+Incmat)^4)*$C58</f>
        <v>0</v>
      </c>
      <c r="T58" s="21">
        <f t="shared" si="6"/>
        <v>0</v>
      </c>
      <c r="U58" s="17">
        <f t="shared" si="7"/>
        <v>0</v>
      </c>
      <c r="V58" s="17">
        <f t="shared" si="8"/>
        <v>0</v>
      </c>
      <c r="W58" s="17">
        <f t="shared" si="14"/>
        <v>5.8207660913467407E-11</v>
      </c>
      <c r="X58" s="15" t="str">
        <f>+IF(B58="","",Resumen!$C$34)</f>
        <v/>
      </c>
      <c r="Y58" s="16">
        <f t="shared" si="1"/>
        <v>0</v>
      </c>
      <c r="Z58" s="20">
        <f t="shared" si="9"/>
        <v>0</v>
      </c>
      <c r="AA58" s="20">
        <f t="shared" si="10"/>
        <v>0</v>
      </c>
      <c r="AB58" s="20">
        <f>+IF(Resumen!$C$8="no",0,W58*((1+10%)^(0.0833333333333333)-1))</f>
        <v>0</v>
      </c>
    </row>
    <row r="59" spans="1:28" x14ac:dyDescent="0.35">
      <c r="A59">
        <f t="shared" si="11"/>
        <v>58</v>
      </c>
      <c r="B59" t="str">
        <f>+IF(A59&gt;Resumen!$C$40,"",A59)</f>
        <v/>
      </c>
      <c r="C59" s="1">
        <f>+IFERROR(HLOOKUP($B59,Resumen!$F$3:$AM$10,8,0),0)</f>
        <v>0</v>
      </c>
      <c r="D59" s="1">
        <f>+IFERROR(HLOOKUP($B59,Resumen!$F$3:$AM$12,10),0)</f>
        <v>0</v>
      </c>
      <c r="E59" s="1">
        <f>+IF(B59=Resumen!$C$38*6-6,1,0)</f>
        <v>0</v>
      </c>
      <c r="F59" s="1">
        <f>+IFERROR(HLOOKUP($B59,Resumen!$F$3:$AM$14,12),0)</f>
        <v>0</v>
      </c>
      <c r="G59" s="17">
        <f t="shared" si="15"/>
        <v>5.8207660913467407E-11</v>
      </c>
      <c r="H59" s="17">
        <f>IF(X59="",0,IF(F59=0,ROUND(SUM(J$2:J59)*X59,2),0))</f>
        <v>0</v>
      </c>
      <c r="I59" s="17">
        <f t="shared" si="0"/>
        <v>0</v>
      </c>
      <c r="J59" s="17">
        <f>(Resumen!$C$10*(1-Resumen!$C$24)*(1+Incmat)^4)*C59</f>
        <v>0</v>
      </c>
      <c r="K59" s="17">
        <f>+IF(F59=1,PMT(X59,(Resumen!$C$36+Resumen!$C$26+Resumen!$C$14*6-B59+1),-Amortizacion!G59),0)</f>
        <v>0</v>
      </c>
      <c r="L59" s="17">
        <f t="shared" si="3"/>
        <v>0</v>
      </c>
      <c r="M59" s="17">
        <f>+IF(Resumen!$C$20="no",H59,0)</f>
        <v>0</v>
      </c>
      <c r="N59" s="17">
        <f t="shared" si="4"/>
        <v>5.8207660913467407E-11</v>
      </c>
      <c r="O59" s="17">
        <f>+IF(AND(Resumen!$C$18="SI",Amortizacion!E59=1),SUM($H$2:J59)*25%,0)</f>
        <v>0</v>
      </c>
      <c r="P59" s="1">
        <f t="shared" si="12"/>
        <v>0</v>
      </c>
      <c r="Q59" s="17">
        <f t="shared" si="13"/>
        <v>0</v>
      </c>
      <c r="R59" s="17">
        <f t="shared" si="5"/>
        <v>0</v>
      </c>
      <c r="S59" s="17">
        <f>(Resumen!$C$10*(Resumen!$C$24)*(1+Incmat)^4)*$C59</f>
        <v>0</v>
      </c>
      <c r="T59" s="21">
        <f t="shared" si="6"/>
        <v>0</v>
      </c>
      <c r="U59" s="17">
        <f t="shared" si="7"/>
        <v>0</v>
      </c>
      <c r="V59" s="17">
        <f t="shared" si="8"/>
        <v>0</v>
      </c>
      <c r="W59" s="17">
        <f t="shared" si="14"/>
        <v>5.8207660913467407E-11</v>
      </c>
      <c r="X59" s="15" t="str">
        <f>+IF(B59="","",Resumen!$C$34)</f>
        <v/>
      </c>
      <c r="Y59" s="16">
        <f t="shared" si="1"/>
        <v>0</v>
      </c>
      <c r="Z59" s="20">
        <f t="shared" si="9"/>
        <v>0</v>
      </c>
      <c r="AA59" s="20">
        <f t="shared" si="10"/>
        <v>0</v>
      </c>
      <c r="AB59" s="20">
        <f>+IF(Resumen!$C$8="no",0,W59*((1+10%)^(0.0833333333333333)-1))</f>
        <v>0</v>
      </c>
    </row>
    <row r="60" spans="1:28" x14ac:dyDescent="0.35">
      <c r="A60">
        <f t="shared" si="11"/>
        <v>59</v>
      </c>
      <c r="B60" t="str">
        <f>+IF(A60&gt;Resumen!$C$40,"",A60)</f>
        <v/>
      </c>
      <c r="C60" s="1">
        <f>+IFERROR(HLOOKUP($B60,Resumen!$F$3:$AM$10,8,0),0)</f>
        <v>0</v>
      </c>
      <c r="D60" s="1">
        <f>+IFERROR(HLOOKUP($B60,Resumen!$F$3:$AM$12,10),0)</f>
        <v>0</v>
      </c>
      <c r="E60" s="1">
        <f>+IF(B60=Resumen!$C$38*6-6,1,0)</f>
        <v>0</v>
      </c>
      <c r="F60" s="1">
        <f>+IFERROR(HLOOKUP($B60,Resumen!$F$3:$AM$14,12),0)</f>
        <v>0</v>
      </c>
      <c r="G60" s="17">
        <f t="shared" si="15"/>
        <v>5.8207660913467407E-11</v>
      </c>
      <c r="H60" s="17">
        <f>IF(X60="",0,IF(F60=0,ROUND(SUM(J$2:J60)*X60,2),0))</f>
        <v>0</v>
      </c>
      <c r="I60" s="17">
        <f t="shared" si="0"/>
        <v>0</v>
      </c>
      <c r="J60" s="17">
        <f>(Resumen!$C$10*(1-Resumen!$C$24)*(1+Incmat)^4)*C60</f>
        <v>0</v>
      </c>
      <c r="K60" s="17">
        <f>+IF(F60=1,PMT(X60,(Resumen!$C$36+Resumen!$C$26+Resumen!$C$14*6-B60+1),-Amortizacion!G60),0)</f>
        <v>0</v>
      </c>
      <c r="L60" s="17">
        <f t="shared" si="3"/>
        <v>0</v>
      </c>
      <c r="M60" s="17">
        <f>+IF(Resumen!$C$20="no",H60,0)</f>
        <v>0</v>
      </c>
      <c r="N60" s="17">
        <f t="shared" si="4"/>
        <v>5.8207660913467407E-11</v>
      </c>
      <c r="O60" s="17">
        <f>+IF(AND(Resumen!$C$18="SI",Amortizacion!E60=1),SUM($H$2:J60)*25%,0)</f>
        <v>0</v>
      </c>
      <c r="P60" s="1">
        <f t="shared" si="12"/>
        <v>0</v>
      </c>
      <c r="Q60" s="17">
        <f t="shared" si="13"/>
        <v>0</v>
      </c>
      <c r="R60" s="17">
        <f t="shared" si="5"/>
        <v>0</v>
      </c>
      <c r="S60" s="17">
        <f>(Resumen!$C$10*(Resumen!$C$24)*(1+Incmat)^4)*$C60</f>
        <v>0</v>
      </c>
      <c r="T60" s="21">
        <f t="shared" si="6"/>
        <v>0</v>
      </c>
      <c r="U60" s="17">
        <f t="shared" si="7"/>
        <v>0</v>
      </c>
      <c r="V60" s="17">
        <f t="shared" si="8"/>
        <v>0</v>
      </c>
      <c r="W60" s="17">
        <f t="shared" si="14"/>
        <v>5.8207660913467407E-11</v>
      </c>
      <c r="X60" s="15" t="str">
        <f>+IF(B60="","",Resumen!$C$34)</f>
        <v/>
      </c>
      <c r="Y60" s="16">
        <f t="shared" si="1"/>
        <v>0</v>
      </c>
      <c r="Z60" s="20">
        <f t="shared" si="9"/>
        <v>0</v>
      </c>
      <c r="AA60" s="20">
        <f t="shared" si="10"/>
        <v>0</v>
      </c>
      <c r="AB60" s="20">
        <f>+IF(Resumen!$C$8="no",0,W60*((1+10%)^(0.0833333333333333)-1))</f>
        <v>0</v>
      </c>
    </row>
    <row r="61" spans="1:28" x14ac:dyDescent="0.35">
      <c r="A61">
        <f t="shared" si="11"/>
        <v>60</v>
      </c>
      <c r="B61" t="str">
        <f>+IF(A61&gt;Resumen!$C$40,"",A61)</f>
        <v/>
      </c>
      <c r="C61" s="1">
        <f>+IFERROR(HLOOKUP($B61,Resumen!$F$3:$AM$10,8,0),0)</f>
        <v>0</v>
      </c>
      <c r="D61" s="1">
        <f>+IFERROR(HLOOKUP($B61,Resumen!$F$3:$AM$12,10),0)</f>
        <v>0</v>
      </c>
      <c r="E61" s="1">
        <f>+IF(B61=Resumen!$C$38*6-6,1,0)</f>
        <v>0</v>
      </c>
      <c r="F61" s="1">
        <f>+IFERROR(HLOOKUP($B61,Resumen!$F$3:$AM$14,12),0)</f>
        <v>0</v>
      </c>
      <c r="G61" s="17">
        <f t="shared" si="15"/>
        <v>5.8207660913467407E-11</v>
      </c>
      <c r="H61" s="17">
        <f>IF(X61="",0,IF(F61=0,ROUND(SUM(J$2:J61)*X61,2),0))</f>
        <v>0</v>
      </c>
      <c r="I61" s="17">
        <f t="shared" si="0"/>
        <v>0</v>
      </c>
      <c r="J61" s="17">
        <f>(Resumen!$C$10*(1-Resumen!$C$24)*(1+Incmat)^4)*C61</f>
        <v>0</v>
      </c>
      <c r="K61" s="17">
        <f>+IF(F61=1,PMT(X61,(Resumen!$C$36+Resumen!$C$26+Resumen!$C$14*6-B61+1),-Amortizacion!G61),0)</f>
        <v>0</v>
      </c>
      <c r="L61" s="17">
        <f t="shared" si="3"/>
        <v>0</v>
      </c>
      <c r="M61" s="17">
        <f>+IF(Resumen!$C$20="no",H61,0)</f>
        <v>0</v>
      </c>
      <c r="N61" s="17">
        <f t="shared" si="4"/>
        <v>5.8207660913467407E-11</v>
      </c>
      <c r="O61" s="17">
        <f>+IF(AND(Resumen!$C$18="SI",Amortizacion!E61=1),SUM($H$2:J61)*25%,0)</f>
        <v>0</v>
      </c>
      <c r="P61" s="1">
        <f t="shared" si="12"/>
        <v>0</v>
      </c>
      <c r="Q61" s="17">
        <f t="shared" si="13"/>
        <v>0</v>
      </c>
      <c r="R61" s="17">
        <f t="shared" si="5"/>
        <v>0</v>
      </c>
      <c r="S61" s="17">
        <f>(Resumen!$C$10*(Resumen!$C$24)*(1+Incmat)^4)*$C61</f>
        <v>0</v>
      </c>
      <c r="T61" s="21">
        <f t="shared" si="6"/>
        <v>0</v>
      </c>
      <c r="U61" s="17">
        <f t="shared" si="7"/>
        <v>0</v>
      </c>
      <c r="V61" s="17">
        <f t="shared" si="8"/>
        <v>0</v>
      </c>
      <c r="W61" s="17">
        <f t="shared" si="14"/>
        <v>5.8207660913467407E-11</v>
      </c>
      <c r="X61" s="15" t="str">
        <f>+IF(B61="","",Resumen!$C$34)</f>
        <v/>
      </c>
      <c r="Y61" s="16">
        <f t="shared" si="1"/>
        <v>0</v>
      </c>
      <c r="Z61" s="20">
        <f t="shared" si="9"/>
        <v>0</v>
      </c>
      <c r="AA61" s="20">
        <f t="shared" si="10"/>
        <v>0</v>
      </c>
      <c r="AB61" s="20">
        <f>+IF(Resumen!$C$8="no",0,W61*((1+10%)^(0.0833333333333333)-1))</f>
        <v>0</v>
      </c>
    </row>
    <row r="62" spans="1:28" x14ac:dyDescent="0.35">
      <c r="A62">
        <f t="shared" si="11"/>
        <v>61</v>
      </c>
      <c r="B62" t="str">
        <f>+IF(A62&gt;Resumen!$C$40,"",A62)</f>
        <v/>
      </c>
      <c r="C62" s="1">
        <f>+IFERROR(HLOOKUP($B62,Resumen!$F$3:$AM$10,8,0),0)</f>
        <v>0</v>
      </c>
      <c r="D62" s="1">
        <f>+IFERROR(HLOOKUP($B62,Resumen!$F$3:$AM$12,10),0)</f>
        <v>0</v>
      </c>
      <c r="E62" s="1">
        <f>+IF(B62=Resumen!$C$38*6-6,1,0)</f>
        <v>0</v>
      </c>
      <c r="F62" s="1">
        <f>+IFERROR(HLOOKUP($B62,Resumen!$F$3:$AM$14,12),0)</f>
        <v>0</v>
      </c>
      <c r="G62" s="17">
        <f>+N61-O61</f>
        <v>5.8207660913467407E-11</v>
      </c>
      <c r="H62" s="17">
        <f>IF(X62="",0,IF(F62=0,ROUND(SUM(J$2:J62)*X62,2),0))</f>
        <v>0</v>
      </c>
      <c r="I62" s="17">
        <f t="shared" si="0"/>
        <v>0</v>
      </c>
      <c r="J62" s="17">
        <f>(Resumen!$C$10*(1-Resumen!$C$24)*(1+Incmat)^5)*C62</f>
        <v>0</v>
      </c>
      <c r="K62" s="17">
        <f>+IF(F62=1,PMT(X62,(Resumen!$C$36+Resumen!$C$26+Resumen!$C$14*6-B62+1),-Amortizacion!G62),0)</f>
        <v>0</v>
      </c>
      <c r="L62" s="17">
        <f t="shared" si="3"/>
        <v>0</v>
      </c>
      <c r="M62" s="17">
        <f>+IF(Resumen!$C$20="no",H62,0)</f>
        <v>0</v>
      </c>
      <c r="N62" s="17">
        <f t="shared" si="4"/>
        <v>5.8207660913467407E-11</v>
      </c>
      <c r="O62" s="17">
        <f>+IF(AND(Resumen!$C$18="SI",Amortizacion!E62=1),SUM($H$2:J62)*25%,0)</f>
        <v>0</v>
      </c>
      <c r="P62" s="1">
        <f t="shared" si="12"/>
        <v>0</v>
      </c>
      <c r="Q62" s="17">
        <f t="shared" si="13"/>
        <v>0</v>
      </c>
      <c r="R62" s="17">
        <f t="shared" si="5"/>
        <v>0</v>
      </c>
      <c r="S62" s="17">
        <f>(Resumen!$C$10*(Resumen!$C$24)*(1+Incmat)^5)*$C62</f>
        <v>0</v>
      </c>
      <c r="T62" s="21">
        <f t="shared" si="6"/>
        <v>0</v>
      </c>
      <c r="U62" s="17">
        <f t="shared" si="7"/>
        <v>0</v>
      </c>
      <c r="V62" s="17">
        <f t="shared" si="8"/>
        <v>0</v>
      </c>
      <c r="W62" s="17">
        <f t="shared" si="14"/>
        <v>5.8207660913467407E-11</v>
      </c>
      <c r="X62" s="15" t="str">
        <f>+IF(B62="","",Resumen!$C$34)</f>
        <v/>
      </c>
      <c r="Y62" s="16">
        <f t="shared" si="1"/>
        <v>0</v>
      </c>
      <c r="Z62" s="20">
        <f t="shared" si="9"/>
        <v>0</v>
      </c>
      <c r="AA62" s="20">
        <f t="shared" si="10"/>
        <v>0</v>
      </c>
      <c r="AB62" s="20">
        <f>+IF(Resumen!$C$8="no",0,W62*((1+10%)^(0.0833333333333333)-1))</f>
        <v>0</v>
      </c>
    </row>
    <row r="63" spans="1:28" x14ac:dyDescent="0.35">
      <c r="A63">
        <f t="shared" si="11"/>
        <v>62</v>
      </c>
      <c r="B63" t="str">
        <f>+IF(A63&gt;Resumen!$C$40,"",A63)</f>
        <v/>
      </c>
      <c r="C63" s="1">
        <f>+IFERROR(HLOOKUP($B63,Resumen!$F$3:$AM$10,8,0),0)</f>
        <v>0</v>
      </c>
      <c r="D63" s="1">
        <f>+IFERROR(HLOOKUP($B63,Resumen!$F$3:$AM$12,10),0)</f>
        <v>0</v>
      </c>
      <c r="E63" s="1">
        <f>+IF(B63=Resumen!$C$38*6-6,1,0)</f>
        <v>0</v>
      </c>
      <c r="F63" s="1">
        <f>+IFERROR(HLOOKUP($B63,Resumen!$F$3:$AM$14,12),0)</f>
        <v>0</v>
      </c>
      <c r="G63" s="17">
        <f t="shared" si="15"/>
        <v>5.8207660913467407E-11</v>
      </c>
      <c r="H63" s="17">
        <f>IF(X63="",0,IF(F63=0,ROUND(SUM(J$2:J63)*X63,2),0))</f>
        <v>0</v>
      </c>
      <c r="I63" s="17">
        <f t="shared" si="0"/>
        <v>0</v>
      </c>
      <c r="J63" s="17">
        <f>(Resumen!$C$10*(1-Resumen!$C$24)*(1+Incmat)^5)*C63</f>
        <v>0</v>
      </c>
      <c r="K63" s="17">
        <f>+IF(F63=1,PMT(X63,(Resumen!$C$36+Resumen!$C$26+Resumen!$C$14*6-B63+1),-Amortizacion!G63),0)</f>
        <v>0</v>
      </c>
      <c r="L63" s="17">
        <f t="shared" si="3"/>
        <v>0</v>
      </c>
      <c r="M63" s="17">
        <f>+IF(Resumen!$C$20="no",H63,0)</f>
        <v>0</v>
      </c>
      <c r="N63" s="17">
        <f t="shared" si="4"/>
        <v>5.8207660913467407E-11</v>
      </c>
      <c r="O63" s="17">
        <f>+IF(AND(Resumen!$C$18="SI",Amortizacion!E63=1),SUM($H$2:J63)*25%,0)</f>
        <v>0</v>
      </c>
      <c r="P63" s="1">
        <f t="shared" si="12"/>
        <v>0</v>
      </c>
      <c r="Q63" s="17">
        <f t="shared" si="13"/>
        <v>0</v>
      </c>
      <c r="R63" s="17">
        <f t="shared" si="5"/>
        <v>0</v>
      </c>
      <c r="S63" s="17">
        <f>(Resumen!$C$10*(Resumen!$C$24)*(1+Incmat)^5)*$C63</f>
        <v>0</v>
      </c>
      <c r="T63" s="21">
        <f t="shared" si="6"/>
        <v>0</v>
      </c>
      <c r="U63" s="17">
        <f t="shared" si="7"/>
        <v>0</v>
      </c>
      <c r="V63" s="17">
        <f t="shared" si="8"/>
        <v>0</v>
      </c>
      <c r="W63" s="17">
        <f t="shared" si="14"/>
        <v>5.8207660913467407E-11</v>
      </c>
      <c r="X63" s="15" t="str">
        <f>+IF(B63="","",Resumen!$C$34)</f>
        <v/>
      </c>
      <c r="Y63" s="16">
        <f t="shared" si="1"/>
        <v>0</v>
      </c>
      <c r="Z63" s="20">
        <f t="shared" si="9"/>
        <v>0</v>
      </c>
      <c r="AA63" s="20">
        <f t="shared" si="10"/>
        <v>0</v>
      </c>
      <c r="AB63" s="20">
        <f>+IF(Resumen!$C$8="no",0,W63*((1+10%)^(0.0833333333333333)-1))</f>
        <v>0</v>
      </c>
    </row>
    <row r="64" spans="1:28" x14ac:dyDescent="0.35">
      <c r="A64">
        <f t="shared" si="11"/>
        <v>63</v>
      </c>
      <c r="B64" t="str">
        <f>+IF(A64&gt;Resumen!$C$40,"",A64)</f>
        <v/>
      </c>
      <c r="C64" s="1">
        <f>+IFERROR(HLOOKUP($B64,Resumen!$F$3:$AM$10,8,0),0)</f>
        <v>0</v>
      </c>
      <c r="D64" s="1">
        <f>+IFERROR(HLOOKUP($B64,Resumen!$F$3:$AM$12,10),0)</f>
        <v>0</v>
      </c>
      <c r="E64" s="1">
        <f>+IF(B64=Resumen!$C$38*6-6,1,0)</f>
        <v>0</v>
      </c>
      <c r="F64" s="1">
        <f>+IFERROR(HLOOKUP($B64,Resumen!$F$3:$AM$14,12),0)</f>
        <v>0</v>
      </c>
      <c r="G64" s="17">
        <f t="shared" si="15"/>
        <v>5.8207660913467407E-11</v>
      </c>
      <c r="H64" s="17">
        <f>IF(X64="",0,IF(F64=0,ROUND(SUM(J$2:J64)*X64,2),0))</f>
        <v>0</v>
      </c>
      <c r="I64" s="17">
        <f t="shared" si="0"/>
        <v>0</v>
      </c>
      <c r="J64" s="17">
        <f>(Resumen!$C$10*(1-Resumen!$C$24)*(1+Incmat)^5)*C64</f>
        <v>0</v>
      </c>
      <c r="K64" s="17">
        <f>+IF(F64=1,PMT(X64,(Resumen!$C$36+Resumen!$C$26+Resumen!$C$14*6-B64+1),-Amortizacion!G64),0)</f>
        <v>0</v>
      </c>
      <c r="L64" s="17">
        <f t="shared" si="3"/>
        <v>0</v>
      </c>
      <c r="M64" s="17">
        <f>+IF(Resumen!$C$20="no",H64,0)</f>
        <v>0</v>
      </c>
      <c r="N64" s="17">
        <f t="shared" si="4"/>
        <v>5.8207660913467407E-11</v>
      </c>
      <c r="O64" s="17">
        <f>+IF(AND(Resumen!$C$18="SI",Amortizacion!E64=1),SUM($H$2:J64)*25%,0)</f>
        <v>0</v>
      </c>
      <c r="P64" s="1">
        <f t="shared" si="12"/>
        <v>0</v>
      </c>
      <c r="Q64" s="17">
        <f t="shared" si="13"/>
        <v>0</v>
      </c>
      <c r="R64" s="17">
        <f t="shared" si="5"/>
        <v>0</v>
      </c>
      <c r="S64" s="17">
        <f>(Resumen!$C$10*(Resumen!$C$24)*(1+Incmat)^5)*$C64</f>
        <v>0</v>
      </c>
      <c r="T64" s="21">
        <f t="shared" si="6"/>
        <v>0</v>
      </c>
      <c r="U64" s="17">
        <f t="shared" si="7"/>
        <v>0</v>
      </c>
      <c r="V64" s="17">
        <f t="shared" si="8"/>
        <v>0</v>
      </c>
      <c r="W64" s="17">
        <f t="shared" si="14"/>
        <v>5.8207660913467407E-11</v>
      </c>
      <c r="X64" s="15" t="str">
        <f>+IF(B64="","",Resumen!$C$34)</f>
        <v/>
      </c>
      <c r="Y64" s="16">
        <f t="shared" si="1"/>
        <v>0</v>
      </c>
      <c r="Z64" s="20">
        <f t="shared" si="9"/>
        <v>0</v>
      </c>
      <c r="AA64" s="20">
        <f t="shared" si="10"/>
        <v>0</v>
      </c>
      <c r="AB64" s="20">
        <f>+IF(Resumen!$C$8="no",0,W64*((1+10%)^(0.0833333333333333)-1))</f>
        <v>0</v>
      </c>
    </row>
    <row r="65" spans="1:28" x14ac:dyDescent="0.35">
      <c r="A65">
        <f t="shared" si="11"/>
        <v>64</v>
      </c>
      <c r="B65" t="str">
        <f>+IF(A65&gt;Resumen!$C$40,"",A65)</f>
        <v/>
      </c>
      <c r="C65" s="1">
        <f>+IFERROR(HLOOKUP($B65,Resumen!$F$3:$AM$10,8,0),0)</f>
        <v>0</v>
      </c>
      <c r="D65" s="1">
        <f>+IFERROR(HLOOKUP($B65,Resumen!$F$3:$AM$12,10),0)</f>
        <v>0</v>
      </c>
      <c r="E65" s="1">
        <f>+IF(B65=Resumen!$C$38*6-6,1,0)</f>
        <v>0</v>
      </c>
      <c r="F65" s="1">
        <f>+IFERROR(HLOOKUP($B65,Resumen!$F$3:$AM$14,12),0)</f>
        <v>0</v>
      </c>
      <c r="G65" s="17">
        <f t="shared" si="15"/>
        <v>5.8207660913467407E-11</v>
      </c>
      <c r="H65" s="17">
        <f>IF(X65="",0,IF(F65=0,ROUND(SUM(J$2:J65)*X65,2),0))</f>
        <v>0</v>
      </c>
      <c r="I65" s="17">
        <f t="shared" si="0"/>
        <v>0</v>
      </c>
      <c r="J65" s="17">
        <f>(Resumen!$C$10*(1-Resumen!$C$24)*(1+Incmat)^5)*C65</f>
        <v>0</v>
      </c>
      <c r="K65" s="17">
        <f>+IF(F65=1,PMT(X65,(Resumen!$C$36+Resumen!$C$26+Resumen!$C$14*6-B65+1),-Amortizacion!G65),0)</f>
        <v>0</v>
      </c>
      <c r="L65" s="17">
        <f t="shared" si="3"/>
        <v>0</v>
      </c>
      <c r="M65" s="17">
        <f>+IF(Resumen!$C$20="no",H65,0)</f>
        <v>0</v>
      </c>
      <c r="N65" s="17">
        <f t="shared" si="4"/>
        <v>5.8207660913467407E-11</v>
      </c>
      <c r="O65" s="17">
        <f>+IF(AND(Resumen!$C$18="SI",Amortizacion!E65=1),SUM($H$2:J65)*25%,0)</f>
        <v>0</v>
      </c>
      <c r="P65" s="1">
        <f t="shared" si="12"/>
        <v>0</v>
      </c>
      <c r="Q65" s="17">
        <f t="shared" si="13"/>
        <v>0</v>
      </c>
      <c r="R65" s="17">
        <f t="shared" si="5"/>
        <v>0</v>
      </c>
      <c r="S65" s="17">
        <f>(Resumen!$C$10*(Resumen!$C$24)*(1+Incmat)^5)*$C65</f>
        <v>0</v>
      </c>
      <c r="T65" s="21">
        <f t="shared" si="6"/>
        <v>0</v>
      </c>
      <c r="U65" s="17">
        <f t="shared" si="7"/>
        <v>0</v>
      </c>
      <c r="V65" s="17">
        <f t="shared" si="8"/>
        <v>0</v>
      </c>
      <c r="W65" s="17">
        <f t="shared" si="14"/>
        <v>5.8207660913467407E-11</v>
      </c>
      <c r="X65" s="15" t="str">
        <f>+IF(B65="","",Resumen!$C$34)</f>
        <v/>
      </c>
      <c r="Y65" s="16">
        <f t="shared" si="1"/>
        <v>0</v>
      </c>
      <c r="Z65" s="20">
        <f t="shared" si="9"/>
        <v>0</v>
      </c>
      <c r="AA65" s="20">
        <f t="shared" si="10"/>
        <v>0</v>
      </c>
      <c r="AB65" s="20">
        <f>+IF(Resumen!$C$8="no",0,W65*((1+10%)^(0.0833333333333333)-1))</f>
        <v>0</v>
      </c>
    </row>
    <row r="66" spans="1:28" x14ac:dyDescent="0.35">
      <c r="A66">
        <f t="shared" si="11"/>
        <v>65</v>
      </c>
      <c r="B66" t="str">
        <f>+IF(A66&gt;Resumen!$C$40,"",A66)</f>
        <v/>
      </c>
      <c r="C66" s="1">
        <f>+IFERROR(HLOOKUP($B66,Resumen!$F$3:$AM$10,8,0),0)</f>
        <v>0</v>
      </c>
      <c r="D66" s="1">
        <f>+IFERROR(HLOOKUP($B66,Resumen!$F$3:$AM$12,10),0)</f>
        <v>0</v>
      </c>
      <c r="E66" s="1">
        <f>+IF(B66=Resumen!$C$38*6-6,1,0)</f>
        <v>0</v>
      </c>
      <c r="F66" s="1">
        <f>+IFERROR(HLOOKUP($B66,Resumen!$F$3:$AM$14,12),0)</f>
        <v>0</v>
      </c>
      <c r="G66" s="17">
        <f t="shared" si="15"/>
        <v>5.8207660913467407E-11</v>
      </c>
      <c r="H66" s="17">
        <f>IF(X66="",0,IF(F66=0,ROUND(SUM(J$2:J66)*X66,2),0))</f>
        <v>0</v>
      </c>
      <c r="I66" s="17">
        <f t="shared" ref="I66:I129" si="16">+IF(X66="",0,IF(F66=1,G66*X66,0))</f>
        <v>0</v>
      </c>
      <c r="J66" s="17">
        <f>(Resumen!$C$10*(1-Resumen!$C$24)*(1+Incmat)^5)*C66</f>
        <v>0</v>
      </c>
      <c r="K66" s="17">
        <f>+IF(F66=1,PMT(X66,(Resumen!$C$36+Resumen!$C$26+Resumen!$C$14*6-B66+1),-Amortizacion!G66),0)</f>
        <v>0</v>
      </c>
      <c r="L66" s="17">
        <f t="shared" si="3"/>
        <v>0</v>
      </c>
      <c r="M66" s="17">
        <f>+IF(Resumen!$C$20="no",H66,0)</f>
        <v>0</v>
      </c>
      <c r="N66" s="17">
        <f t="shared" si="4"/>
        <v>5.8207660913467407E-11</v>
      </c>
      <c r="O66" s="17">
        <f>+IF(AND(Resumen!$C$18="SI",Amortizacion!E66=1),SUM($H$2:J66)*25%,0)</f>
        <v>0</v>
      </c>
      <c r="P66" s="1">
        <f t="shared" si="12"/>
        <v>0</v>
      </c>
      <c r="Q66" s="17">
        <f t="shared" si="13"/>
        <v>0</v>
      </c>
      <c r="R66" s="17">
        <f t="shared" si="5"/>
        <v>0</v>
      </c>
      <c r="S66" s="17">
        <f>(Resumen!$C$10*(Resumen!$C$24)*(1+Incmat)^5)*$C66</f>
        <v>0</v>
      </c>
      <c r="T66" s="21">
        <f t="shared" si="6"/>
        <v>0</v>
      </c>
      <c r="U66" s="17">
        <f t="shared" si="7"/>
        <v>0</v>
      </c>
      <c r="V66" s="17">
        <f t="shared" si="8"/>
        <v>0</v>
      </c>
      <c r="W66" s="17">
        <f t="shared" si="14"/>
        <v>5.8207660913467407E-11</v>
      </c>
      <c r="X66" s="15" t="str">
        <f>+IF(B66="","",Resumen!$C$34)</f>
        <v/>
      </c>
      <c r="Y66" s="16">
        <f t="shared" ref="Y66:Y129" si="17">+J66+S66</f>
        <v>0</v>
      </c>
      <c r="Z66" s="20">
        <f t="shared" si="9"/>
        <v>0</v>
      </c>
      <c r="AA66" s="20">
        <f t="shared" si="10"/>
        <v>0</v>
      </c>
      <c r="AB66" s="20">
        <f>+IF(Resumen!$C$8="no",0,W66*((1+10%)^(0.0833333333333333)-1))</f>
        <v>0</v>
      </c>
    </row>
    <row r="67" spans="1:28" x14ac:dyDescent="0.35">
      <c r="A67">
        <f t="shared" si="11"/>
        <v>66</v>
      </c>
      <c r="B67" t="str">
        <f>+IF(A67&gt;Resumen!$C$40,"",A67)</f>
        <v/>
      </c>
      <c r="C67" s="1">
        <f>+IFERROR(HLOOKUP($B67,Resumen!$F$3:$AM$10,8,0),0)</f>
        <v>0</v>
      </c>
      <c r="D67" s="1">
        <f>+IFERROR(HLOOKUP($B67,Resumen!$F$3:$AM$12,10),0)</f>
        <v>0</v>
      </c>
      <c r="E67" s="1">
        <f>+IF(B67=Resumen!$C$38*6-6,1,0)</f>
        <v>0</v>
      </c>
      <c r="F67" s="1">
        <f>+IFERROR(HLOOKUP($B67,Resumen!$F$3:$AM$14,12),0)</f>
        <v>0</v>
      </c>
      <c r="G67" s="17">
        <f t="shared" si="15"/>
        <v>5.8207660913467407E-11</v>
      </c>
      <c r="H67" s="17">
        <f>IF(X67="",0,IF(F67=0,ROUND(SUM(J$2:J67)*X67,2),0))</f>
        <v>0</v>
      </c>
      <c r="I67" s="17">
        <f t="shared" si="16"/>
        <v>0</v>
      </c>
      <c r="J67" s="17">
        <f>(Resumen!$C$10*(1-Resumen!$C$24)*(1+Incmat)^5)*C67</f>
        <v>0</v>
      </c>
      <c r="K67" s="17">
        <f>+IF(F67=1,PMT(X67,(Resumen!$C$36+Resumen!$C$26+Resumen!$C$14*6-B67+1),-Amortizacion!G67),0)</f>
        <v>0</v>
      </c>
      <c r="L67" s="17">
        <f t="shared" ref="L67:L130" si="18">+IF(I67="","",K67-I67)</f>
        <v>0</v>
      </c>
      <c r="M67" s="17">
        <f>+IF(Resumen!$C$20="no",H67,0)</f>
        <v>0</v>
      </c>
      <c r="N67" s="17">
        <f t="shared" ref="N67:N130" si="19">+IF(F67=0,SUM(G67:K67)-M67,G67-L67)</f>
        <v>5.8207660913467407E-11</v>
      </c>
      <c r="O67" s="17">
        <f>+IF(AND(Resumen!$C$18="SI",Amortizacion!E67=1),SUM($H$2:J67)*25%,0)</f>
        <v>0</v>
      </c>
      <c r="P67" s="1">
        <f t="shared" si="12"/>
        <v>0</v>
      </c>
      <c r="Q67" s="17">
        <f t="shared" si="13"/>
        <v>0</v>
      </c>
      <c r="R67" s="17">
        <f t="shared" ref="R67:R130" si="20">+IF(X67="",0,Q67*X67)</f>
        <v>0</v>
      </c>
      <c r="S67" s="17">
        <f>(Resumen!$C$10*(Resumen!$C$24)*(1+Incmat)^5)*$C67</f>
        <v>0</v>
      </c>
      <c r="T67" s="21">
        <f t="shared" ref="T67:T130" si="21">+IF(X67="",0,IFERROR(PMT(X67,P67,-Q67),0))</f>
        <v>0</v>
      </c>
      <c r="U67" s="17">
        <f t="shared" ref="U67:U130" si="22">+IFERROR(T67-R67,0)</f>
        <v>0</v>
      </c>
      <c r="V67" s="17">
        <f t="shared" ref="V67:V130" si="23">+Q67-U67</f>
        <v>0</v>
      </c>
      <c r="W67" s="17">
        <f t="shared" si="14"/>
        <v>5.8207660913467407E-11</v>
      </c>
      <c r="X67" s="15" t="str">
        <f>+IF(B67="","",Resumen!$C$34)</f>
        <v/>
      </c>
      <c r="Y67" s="16">
        <f t="shared" si="17"/>
        <v>0</v>
      </c>
      <c r="Z67" s="20">
        <f t="shared" ref="Z67:Z130" si="24">+T67+K67+M67</f>
        <v>0</v>
      </c>
      <c r="AA67" s="20">
        <f t="shared" ref="AA67:AA130" si="25">+R67+M67+I67</f>
        <v>0</v>
      </c>
      <c r="AB67" s="20">
        <f>+IF(Resumen!$C$8="no",0,W67*((1+10%)^(0.0833333333333333)-1))</f>
        <v>0</v>
      </c>
    </row>
    <row r="68" spans="1:28" x14ac:dyDescent="0.35">
      <c r="A68">
        <f t="shared" ref="A68:A131" si="26">+A67+1</f>
        <v>67</v>
      </c>
      <c r="B68" t="str">
        <f>+IF(A68&gt;Resumen!$C$40,"",A68)</f>
        <v/>
      </c>
      <c r="C68" s="1">
        <f>+IFERROR(HLOOKUP($B68,Resumen!$F$3:$AM$10,8,0),0)</f>
        <v>0</v>
      </c>
      <c r="D68" s="1">
        <f>+IFERROR(HLOOKUP($B68,Resumen!$F$3:$AM$12,10),0)</f>
        <v>0</v>
      </c>
      <c r="E68" s="1">
        <f>+IF(B68=Resumen!$C$38*6-6,1,0)</f>
        <v>0</v>
      </c>
      <c r="F68" s="1">
        <f>+IFERROR(HLOOKUP($B68,Resumen!$F$3:$AM$14,12),0)</f>
        <v>0</v>
      </c>
      <c r="G68" s="17">
        <f t="shared" si="15"/>
        <v>5.8207660913467407E-11</v>
      </c>
      <c r="H68" s="17">
        <f>IF(X68="",0,IF(F68=0,ROUND(SUM(J$2:J68)*X68,2),0))</f>
        <v>0</v>
      </c>
      <c r="I68" s="17">
        <f t="shared" si="16"/>
        <v>0</v>
      </c>
      <c r="J68" s="17">
        <f>(Resumen!$C$10*(1-Resumen!$C$24)*(1+Incmat)^5)*C68</f>
        <v>0</v>
      </c>
      <c r="K68" s="17">
        <f>+IF(F68=1,PMT(X68,(Resumen!$C$36+Resumen!$C$26+Resumen!$C$14*6-B68+1),-Amortizacion!G68),0)</f>
        <v>0</v>
      </c>
      <c r="L68" s="17">
        <f t="shared" si="18"/>
        <v>0</v>
      </c>
      <c r="M68" s="17">
        <f>+IF(Resumen!$C$20="no",H68,0)</f>
        <v>0</v>
      </c>
      <c r="N68" s="17">
        <f t="shared" si="19"/>
        <v>5.8207660913467407E-11</v>
      </c>
      <c r="O68" s="17">
        <f>+IF(AND(Resumen!$C$18="SI",Amortizacion!E68=1),SUM($H$2:J68)*25%,0)</f>
        <v>0</v>
      </c>
      <c r="P68" s="1">
        <f t="shared" ref="P68:P131" si="27">+IF(S68&lt;&gt;0,6,IF(P67=0,0,P67-1))</f>
        <v>0</v>
      </c>
      <c r="Q68" s="17">
        <f t="shared" ref="Q68:Q131" si="28">+V67+S68</f>
        <v>0</v>
      </c>
      <c r="R68" s="17">
        <f t="shared" si="20"/>
        <v>0</v>
      </c>
      <c r="S68" s="17">
        <f>(Resumen!$C$10*(Resumen!$C$24)*(1+Incmat)^5)*$C68</f>
        <v>0</v>
      </c>
      <c r="T68" s="21">
        <f t="shared" si="21"/>
        <v>0</v>
      </c>
      <c r="U68" s="17">
        <f t="shared" si="22"/>
        <v>0</v>
      </c>
      <c r="V68" s="17">
        <f t="shared" si="23"/>
        <v>0</v>
      </c>
      <c r="W68" s="17">
        <f t="shared" ref="W68:W131" si="29">+N68+V68</f>
        <v>5.8207660913467407E-11</v>
      </c>
      <c r="X68" s="15" t="str">
        <f>+IF(B68="","",Resumen!$C$34)</f>
        <v/>
      </c>
      <c r="Y68" s="16">
        <f t="shared" si="17"/>
        <v>0</v>
      </c>
      <c r="Z68" s="20">
        <f t="shared" si="24"/>
        <v>0</v>
      </c>
      <c r="AA68" s="20">
        <f t="shared" si="25"/>
        <v>0</v>
      </c>
      <c r="AB68" s="20">
        <f>+IF(Resumen!$C$8="no",0,W68*((1+10%)^(0.0833333333333333)-1))</f>
        <v>0</v>
      </c>
    </row>
    <row r="69" spans="1:28" x14ac:dyDescent="0.35">
      <c r="A69">
        <f t="shared" si="26"/>
        <v>68</v>
      </c>
      <c r="B69" t="str">
        <f>+IF(A69&gt;Resumen!$C$40,"",A69)</f>
        <v/>
      </c>
      <c r="C69" s="1">
        <f>+IFERROR(HLOOKUP($B69,Resumen!$F$3:$AM$10,8,0),0)</f>
        <v>0</v>
      </c>
      <c r="D69" s="1">
        <f>+IFERROR(HLOOKUP($B69,Resumen!$F$3:$AM$12,10),0)</f>
        <v>0</v>
      </c>
      <c r="E69" s="1">
        <f>+IF(B69=Resumen!$C$38*6-6,1,0)</f>
        <v>0</v>
      </c>
      <c r="F69" s="1">
        <f>+IFERROR(HLOOKUP($B69,Resumen!$F$3:$AM$14,12),0)</f>
        <v>0</v>
      </c>
      <c r="G69" s="17">
        <f t="shared" si="15"/>
        <v>5.8207660913467407E-11</v>
      </c>
      <c r="H69" s="17">
        <f>IF(X69="",0,IF(F69=0,ROUND(SUM(J$2:J69)*X69,2),0))</f>
        <v>0</v>
      </c>
      <c r="I69" s="17">
        <f t="shared" si="16"/>
        <v>0</v>
      </c>
      <c r="J69" s="17">
        <f>(Resumen!$C$10*(1-Resumen!$C$24)*(1+Incmat)^5)*C69</f>
        <v>0</v>
      </c>
      <c r="K69" s="17">
        <f>+IF(F69=1,PMT(X69,(Resumen!$C$36+Resumen!$C$26+Resumen!$C$14*6-B69+1),-Amortizacion!G69),0)</f>
        <v>0</v>
      </c>
      <c r="L69" s="17">
        <f t="shared" si="18"/>
        <v>0</v>
      </c>
      <c r="M69" s="17">
        <f>+IF(Resumen!$C$20="no",H69,0)</f>
        <v>0</v>
      </c>
      <c r="N69" s="17">
        <f t="shared" si="19"/>
        <v>5.8207660913467407E-11</v>
      </c>
      <c r="O69" s="17">
        <f>+IF(AND(Resumen!$C$18="SI",Amortizacion!E69=1),SUM($H$2:J69)*25%,0)</f>
        <v>0</v>
      </c>
      <c r="P69" s="1">
        <f t="shared" si="27"/>
        <v>0</v>
      </c>
      <c r="Q69" s="17">
        <f t="shared" si="28"/>
        <v>0</v>
      </c>
      <c r="R69" s="17">
        <f t="shared" si="20"/>
        <v>0</v>
      </c>
      <c r="S69" s="17">
        <f>(Resumen!$C$10*(Resumen!$C$24)*(1+Incmat)^5)*$C69</f>
        <v>0</v>
      </c>
      <c r="T69" s="21">
        <f t="shared" si="21"/>
        <v>0</v>
      </c>
      <c r="U69" s="17">
        <f t="shared" si="22"/>
        <v>0</v>
      </c>
      <c r="V69" s="17">
        <f t="shared" si="23"/>
        <v>0</v>
      </c>
      <c r="W69" s="17">
        <f t="shared" si="29"/>
        <v>5.8207660913467407E-11</v>
      </c>
      <c r="X69" s="15" t="str">
        <f>+IF(B69="","",Resumen!$C$34)</f>
        <v/>
      </c>
      <c r="Y69" s="16">
        <f t="shared" si="17"/>
        <v>0</v>
      </c>
      <c r="Z69" s="20">
        <f t="shared" si="24"/>
        <v>0</v>
      </c>
      <c r="AA69" s="20">
        <f t="shared" si="25"/>
        <v>0</v>
      </c>
      <c r="AB69" s="20">
        <f>+IF(Resumen!$C$8="no",0,W69*((1+10%)^(0.0833333333333333)-1))</f>
        <v>0</v>
      </c>
    </row>
    <row r="70" spans="1:28" x14ac:dyDescent="0.35">
      <c r="A70">
        <f t="shared" si="26"/>
        <v>69</v>
      </c>
      <c r="B70" t="str">
        <f>+IF(A70&gt;Resumen!$C$40,"",A70)</f>
        <v/>
      </c>
      <c r="C70" s="1">
        <f>+IFERROR(HLOOKUP($B70,Resumen!$F$3:$AM$10,8,0),0)</f>
        <v>0</v>
      </c>
      <c r="D70" s="1">
        <f>+IFERROR(HLOOKUP($B70,Resumen!$F$3:$AM$12,10),0)</f>
        <v>0</v>
      </c>
      <c r="E70" s="1">
        <f>+IF(B70=Resumen!$C$38*6-6,1,0)</f>
        <v>0</v>
      </c>
      <c r="F70" s="1">
        <f>+IFERROR(HLOOKUP($B70,Resumen!$F$3:$AM$14,12),0)</f>
        <v>0</v>
      </c>
      <c r="G70" s="17">
        <f t="shared" si="15"/>
        <v>5.8207660913467407E-11</v>
      </c>
      <c r="H70" s="17">
        <f>IF(X70="",0,IF(F70=0,ROUND(SUM(J$2:J70)*X70,2),0))</f>
        <v>0</v>
      </c>
      <c r="I70" s="17">
        <f t="shared" si="16"/>
        <v>0</v>
      </c>
      <c r="J70" s="17">
        <f>(Resumen!$C$10*(1-Resumen!$C$24)*(1+Incmat)^5)*C70</f>
        <v>0</v>
      </c>
      <c r="K70" s="17">
        <f>+IF(F70=1,PMT(X70,(Resumen!$C$36+Resumen!$C$26+Resumen!$C$14*6-B70+1),-Amortizacion!G70),0)</f>
        <v>0</v>
      </c>
      <c r="L70" s="17">
        <f t="shared" si="18"/>
        <v>0</v>
      </c>
      <c r="M70" s="17">
        <f>+IF(Resumen!$C$20="no",H70,0)</f>
        <v>0</v>
      </c>
      <c r="N70" s="17">
        <f t="shared" si="19"/>
        <v>5.8207660913467407E-11</v>
      </c>
      <c r="O70" s="17">
        <f>+IF(AND(Resumen!$C$18="SI",Amortizacion!E70=1),SUM($H$2:J70)*25%,0)</f>
        <v>0</v>
      </c>
      <c r="P70" s="1">
        <f t="shared" si="27"/>
        <v>0</v>
      </c>
      <c r="Q70" s="17">
        <f t="shared" si="28"/>
        <v>0</v>
      </c>
      <c r="R70" s="17">
        <f t="shared" si="20"/>
        <v>0</v>
      </c>
      <c r="S70" s="17">
        <f>(Resumen!$C$10*(Resumen!$C$24)*(1+Incmat)^5)*$C70</f>
        <v>0</v>
      </c>
      <c r="T70" s="21">
        <f t="shared" si="21"/>
        <v>0</v>
      </c>
      <c r="U70" s="17">
        <f t="shared" si="22"/>
        <v>0</v>
      </c>
      <c r="V70" s="17">
        <f t="shared" si="23"/>
        <v>0</v>
      </c>
      <c r="W70" s="17">
        <f t="shared" si="29"/>
        <v>5.8207660913467407E-11</v>
      </c>
      <c r="X70" s="15" t="str">
        <f>+IF(B70="","",Resumen!$C$34)</f>
        <v/>
      </c>
      <c r="Y70" s="16">
        <f t="shared" si="17"/>
        <v>0</v>
      </c>
      <c r="Z70" s="20">
        <f t="shared" si="24"/>
        <v>0</v>
      </c>
      <c r="AA70" s="20">
        <f t="shared" si="25"/>
        <v>0</v>
      </c>
      <c r="AB70" s="20">
        <f>+IF(Resumen!$C$8="no",0,W70*((1+10%)^(0.0833333333333333)-1))</f>
        <v>0</v>
      </c>
    </row>
    <row r="71" spans="1:28" x14ac:dyDescent="0.35">
      <c r="A71">
        <f t="shared" si="26"/>
        <v>70</v>
      </c>
      <c r="B71" t="str">
        <f>+IF(A71&gt;Resumen!$C$40,"",A71)</f>
        <v/>
      </c>
      <c r="C71" s="1">
        <f>+IFERROR(HLOOKUP($B71,Resumen!$F$3:$AM$10,8,0),0)</f>
        <v>0</v>
      </c>
      <c r="D71" s="1">
        <f>+IFERROR(HLOOKUP($B71,Resumen!$F$3:$AM$12,10),0)</f>
        <v>0</v>
      </c>
      <c r="E71" s="1">
        <f>+IF(B71=Resumen!$C$38*6-6,1,0)</f>
        <v>0</v>
      </c>
      <c r="F71" s="1">
        <f>+IFERROR(HLOOKUP($B71,Resumen!$F$3:$AM$14,12),0)</f>
        <v>0</v>
      </c>
      <c r="G71" s="17">
        <f t="shared" si="15"/>
        <v>5.8207660913467407E-11</v>
      </c>
      <c r="H71" s="17">
        <f>IF(X71="",0,IF(F71=0,ROUND(SUM(J$2:J71)*X71,2),0))</f>
        <v>0</v>
      </c>
      <c r="I71" s="17">
        <f t="shared" si="16"/>
        <v>0</v>
      </c>
      <c r="J71" s="17">
        <f>(Resumen!$C$10*(1-Resumen!$C$24)*(1+Incmat)^5)*C71</f>
        <v>0</v>
      </c>
      <c r="K71" s="17">
        <f>+IF(F71=1,PMT(X71,(Resumen!$C$36+Resumen!$C$26+Resumen!$C$14*6-B71+1),-Amortizacion!G71),0)</f>
        <v>0</v>
      </c>
      <c r="L71" s="17">
        <f t="shared" si="18"/>
        <v>0</v>
      </c>
      <c r="M71" s="17">
        <f>+IF(Resumen!$C$20="no",H71,0)</f>
        <v>0</v>
      </c>
      <c r="N71" s="17">
        <f t="shared" si="19"/>
        <v>5.8207660913467407E-11</v>
      </c>
      <c r="O71" s="17">
        <f>+IF(AND(Resumen!$C$18="SI",Amortizacion!E71=1),SUM($H$2:J71)*25%,0)</f>
        <v>0</v>
      </c>
      <c r="P71" s="1">
        <f t="shared" si="27"/>
        <v>0</v>
      </c>
      <c r="Q71" s="17">
        <f t="shared" si="28"/>
        <v>0</v>
      </c>
      <c r="R71" s="17">
        <f t="shared" si="20"/>
        <v>0</v>
      </c>
      <c r="S71" s="17">
        <f>(Resumen!$C$10*(Resumen!$C$24)*(1+Incmat)^5)*$C71</f>
        <v>0</v>
      </c>
      <c r="T71" s="21">
        <f t="shared" si="21"/>
        <v>0</v>
      </c>
      <c r="U71" s="17">
        <f t="shared" si="22"/>
        <v>0</v>
      </c>
      <c r="V71" s="17">
        <f t="shared" si="23"/>
        <v>0</v>
      </c>
      <c r="W71" s="17">
        <f t="shared" si="29"/>
        <v>5.8207660913467407E-11</v>
      </c>
      <c r="X71" s="15" t="str">
        <f>+IF(B71="","",Resumen!$C$34)</f>
        <v/>
      </c>
      <c r="Y71" s="16">
        <f t="shared" si="17"/>
        <v>0</v>
      </c>
      <c r="Z71" s="20">
        <f t="shared" si="24"/>
        <v>0</v>
      </c>
      <c r="AA71" s="20">
        <f t="shared" si="25"/>
        <v>0</v>
      </c>
      <c r="AB71" s="20">
        <f>+IF(Resumen!$C$8="no",0,W71*((1+10%)^(0.0833333333333333)-1))</f>
        <v>0</v>
      </c>
    </row>
    <row r="72" spans="1:28" x14ac:dyDescent="0.35">
      <c r="A72">
        <f t="shared" si="26"/>
        <v>71</v>
      </c>
      <c r="B72" t="str">
        <f>+IF(A72&gt;Resumen!$C$40,"",A72)</f>
        <v/>
      </c>
      <c r="C72" s="1">
        <f>+IFERROR(HLOOKUP($B72,Resumen!$F$3:$AM$10,8,0),0)</f>
        <v>0</v>
      </c>
      <c r="D72" s="1">
        <f>+IFERROR(HLOOKUP($B72,Resumen!$F$3:$AM$12,10),0)</f>
        <v>0</v>
      </c>
      <c r="E72" s="1">
        <f>+IF(B72=Resumen!$C$38*6-6,1,0)</f>
        <v>0</v>
      </c>
      <c r="F72" s="1">
        <f>+IFERROR(HLOOKUP($B72,Resumen!$F$3:$AM$14,12),0)</f>
        <v>0</v>
      </c>
      <c r="G72" s="17">
        <f t="shared" si="15"/>
        <v>5.8207660913467407E-11</v>
      </c>
      <c r="H72" s="17">
        <f>IF(X72="",0,IF(F72=0,ROUND(SUM(J$2:J72)*X72,2),0))</f>
        <v>0</v>
      </c>
      <c r="I72" s="17">
        <f t="shared" si="16"/>
        <v>0</v>
      </c>
      <c r="J72" s="17">
        <f>(Resumen!$C$10*(1-Resumen!$C$24)*(1+Incmat)^5)*C72</f>
        <v>0</v>
      </c>
      <c r="K72" s="17">
        <f>+IF(F72=1,PMT(X72,(Resumen!$C$36+Resumen!$C$26+Resumen!$C$14*6-B72+1),-Amortizacion!G72),0)</f>
        <v>0</v>
      </c>
      <c r="L72" s="17">
        <f t="shared" si="18"/>
        <v>0</v>
      </c>
      <c r="M72" s="17">
        <f>+IF(Resumen!$C$20="no",H72,0)</f>
        <v>0</v>
      </c>
      <c r="N72" s="17">
        <f t="shared" si="19"/>
        <v>5.8207660913467407E-11</v>
      </c>
      <c r="O72" s="17">
        <f>+IF(AND(Resumen!$C$18="SI",Amortizacion!E72=1),SUM($H$2:J72)*25%,0)</f>
        <v>0</v>
      </c>
      <c r="P72" s="1">
        <f t="shared" si="27"/>
        <v>0</v>
      </c>
      <c r="Q72" s="17">
        <f t="shared" si="28"/>
        <v>0</v>
      </c>
      <c r="R72" s="17">
        <f t="shared" si="20"/>
        <v>0</v>
      </c>
      <c r="S72" s="17">
        <f>(Resumen!$C$10*(Resumen!$C$24)*(1+Incmat)^5)*$C72</f>
        <v>0</v>
      </c>
      <c r="T72" s="21">
        <f t="shared" si="21"/>
        <v>0</v>
      </c>
      <c r="U72" s="17">
        <f t="shared" si="22"/>
        <v>0</v>
      </c>
      <c r="V72" s="17">
        <f t="shared" si="23"/>
        <v>0</v>
      </c>
      <c r="W72" s="17">
        <f t="shared" si="29"/>
        <v>5.8207660913467407E-11</v>
      </c>
      <c r="X72" s="15" t="str">
        <f>+IF(B72="","",Resumen!$C$34)</f>
        <v/>
      </c>
      <c r="Y72" s="16">
        <f t="shared" si="17"/>
        <v>0</v>
      </c>
      <c r="Z72" s="20">
        <f t="shared" si="24"/>
        <v>0</v>
      </c>
      <c r="AA72" s="20">
        <f t="shared" si="25"/>
        <v>0</v>
      </c>
      <c r="AB72" s="20">
        <f>+IF(Resumen!$C$8="no",0,W72*((1+10%)^(0.0833333333333333)-1))</f>
        <v>0</v>
      </c>
    </row>
    <row r="73" spans="1:28" x14ac:dyDescent="0.35">
      <c r="A73">
        <f t="shared" si="26"/>
        <v>72</v>
      </c>
      <c r="B73" t="str">
        <f>+IF(A73&gt;Resumen!$C$40,"",A73)</f>
        <v/>
      </c>
      <c r="C73" s="1">
        <f>+IFERROR(HLOOKUP($B73,Resumen!$F$3:$AM$10,8,0),0)</f>
        <v>0</v>
      </c>
      <c r="D73" s="1">
        <f>+IFERROR(HLOOKUP($B73,Resumen!$F$3:$AM$12,10),0)</f>
        <v>0</v>
      </c>
      <c r="E73" s="1">
        <f>+IF(B73=Resumen!$C$38*6-6,1,0)</f>
        <v>0</v>
      </c>
      <c r="F73" s="1">
        <f>+IFERROR(HLOOKUP($B73,Resumen!$F$3:$AM$14,12),0)</f>
        <v>0</v>
      </c>
      <c r="G73" s="17">
        <f t="shared" si="15"/>
        <v>5.8207660913467407E-11</v>
      </c>
      <c r="H73" s="17">
        <f>IF(X73="",0,IF(F73=0,ROUND(SUM(J$2:J73)*X73,2),0))</f>
        <v>0</v>
      </c>
      <c r="I73" s="17">
        <f t="shared" si="16"/>
        <v>0</v>
      </c>
      <c r="J73" s="17">
        <f>(Resumen!$C$10*(1-Resumen!$C$24)*(1+Incmat)^5)*C73</f>
        <v>0</v>
      </c>
      <c r="K73" s="17">
        <f>+IF(F73=1,PMT(X73,(Resumen!$C$36+Resumen!$C$26+Resumen!$C$14*6-B73+1),-Amortizacion!G73),0)</f>
        <v>0</v>
      </c>
      <c r="L73" s="17">
        <f t="shared" si="18"/>
        <v>0</v>
      </c>
      <c r="M73" s="17">
        <f>+IF(Resumen!$C$20="no",H73,0)</f>
        <v>0</v>
      </c>
      <c r="N73" s="17">
        <f t="shared" si="19"/>
        <v>5.8207660913467407E-11</v>
      </c>
      <c r="O73" s="17">
        <f>+IF(AND(Resumen!$C$18="SI",Amortizacion!E73=1),SUM($H$2:J73)*25%,0)</f>
        <v>0</v>
      </c>
      <c r="P73" s="1">
        <f t="shared" si="27"/>
        <v>0</v>
      </c>
      <c r="Q73" s="17">
        <f t="shared" si="28"/>
        <v>0</v>
      </c>
      <c r="R73" s="17">
        <f t="shared" si="20"/>
        <v>0</v>
      </c>
      <c r="S73" s="17">
        <f>(Resumen!$C$10*(Resumen!$C$24)*(1+Incmat)^5)*$C73</f>
        <v>0</v>
      </c>
      <c r="T73" s="21">
        <f t="shared" si="21"/>
        <v>0</v>
      </c>
      <c r="U73" s="17">
        <f t="shared" si="22"/>
        <v>0</v>
      </c>
      <c r="V73" s="17">
        <f t="shared" si="23"/>
        <v>0</v>
      </c>
      <c r="W73" s="17">
        <f t="shared" si="29"/>
        <v>5.8207660913467407E-11</v>
      </c>
      <c r="X73" s="15" t="str">
        <f>+IF(B73="","",Resumen!$C$34)</f>
        <v/>
      </c>
      <c r="Y73" s="16">
        <f t="shared" si="17"/>
        <v>0</v>
      </c>
      <c r="Z73" s="20">
        <f t="shared" si="24"/>
        <v>0</v>
      </c>
      <c r="AA73" s="20">
        <f t="shared" si="25"/>
        <v>0</v>
      </c>
      <c r="AB73" s="20">
        <f>+IF(Resumen!$C$8="no",0,W73*((1+10%)^(0.0833333333333333)-1))</f>
        <v>0</v>
      </c>
    </row>
    <row r="74" spans="1:28" x14ac:dyDescent="0.35">
      <c r="A74">
        <f t="shared" si="26"/>
        <v>73</v>
      </c>
      <c r="B74" t="str">
        <f>+IF(A74&gt;Resumen!$C$40,"",A74)</f>
        <v/>
      </c>
      <c r="C74" s="1">
        <f>+IFERROR(HLOOKUP($B74,Resumen!$F$3:$AM$10,8,0),0)</f>
        <v>0</v>
      </c>
      <c r="D74" s="1">
        <f>+IFERROR(HLOOKUP($B74,Resumen!$F$3:$AM$12,10),0)</f>
        <v>0</v>
      </c>
      <c r="E74" s="1">
        <f>+IF(B74=Resumen!$C$38*6-6,1,0)</f>
        <v>0</v>
      </c>
      <c r="F74" s="1">
        <f>+IFERROR(HLOOKUP($B74,Resumen!$F$3:$AM$14,12),0)</f>
        <v>0</v>
      </c>
      <c r="G74" s="17">
        <f t="shared" ref="G74:G137" si="30">+N73-O73</f>
        <v>5.8207660913467407E-11</v>
      </c>
      <c r="H74" s="17">
        <f>IF(X74="",0,IF(F74=0,ROUND(SUM(J$2:J74)*X74,2),0))</f>
        <v>0</v>
      </c>
      <c r="I74" s="17">
        <f t="shared" si="16"/>
        <v>0</v>
      </c>
      <c r="J74" s="17">
        <f>(Resumen!$C$10*(1-Resumen!$C$24)*(1+Incmat)^5)*C74</f>
        <v>0</v>
      </c>
      <c r="K74" s="17">
        <f>+IF(F74=1,PMT(X74,(Resumen!$C$36+Resumen!$C$26+Resumen!$C$14*6-B74+1),-Amortizacion!G74),0)</f>
        <v>0</v>
      </c>
      <c r="L74" s="17">
        <f t="shared" si="18"/>
        <v>0</v>
      </c>
      <c r="M74" s="17">
        <f>+IF(Resumen!$C$20="no",H74,0)</f>
        <v>0</v>
      </c>
      <c r="N74" s="17">
        <f t="shared" si="19"/>
        <v>5.8207660913467407E-11</v>
      </c>
      <c r="O74" s="17">
        <f>+IF(AND(Resumen!$C$18="SI",Amortizacion!E74=1),SUM($H$2:J74)*25%,0)</f>
        <v>0</v>
      </c>
      <c r="P74" s="1">
        <f t="shared" si="27"/>
        <v>0</v>
      </c>
      <c r="Q74" s="17">
        <f t="shared" si="28"/>
        <v>0</v>
      </c>
      <c r="R74" s="17">
        <f t="shared" si="20"/>
        <v>0</v>
      </c>
      <c r="S74" s="17">
        <f>(Resumen!$C$10*(Resumen!$C$24)*(1+Incmat)^5)*$C74</f>
        <v>0</v>
      </c>
      <c r="T74" s="21">
        <f t="shared" si="21"/>
        <v>0</v>
      </c>
      <c r="U74" s="17">
        <f t="shared" si="22"/>
        <v>0</v>
      </c>
      <c r="V74" s="17">
        <f t="shared" si="23"/>
        <v>0</v>
      </c>
      <c r="W74" s="17">
        <f t="shared" si="29"/>
        <v>5.8207660913467407E-11</v>
      </c>
      <c r="X74" s="15" t="str">
        <f>+IF(B74="","",Resumen!$C$34)</f>
        <v/>
      </c>
      <c r="Y74" s="16">
        <f t="shared" si="17"/>
        <v>0</v>
      </c>
      <c r="Z74" s="20">
        <f t="shared" si="24"/>
        <v>0</v>
      </c>
      <c r="AA74" s="20">
        <f t="shared" si="25"/>
        <v>0</v>
      </c>
      <c r="AB74" s="20">
        <f>+IF(Resumen!$C$8="no",0,W74*((1+10%)^(0.0833333333333333)-1))</f>
        <v>0</v>
      </c>
    </row>
    <row r="75" spans="1:28" x14ac:dyDescent="0.35">
      <c r="A75">
        <f t="shared" si="26"/>
        <v>74</v>
      </c>
      <c r="B75" t="str">
        <f>+IF(A75&gt;Resumen!$C$40,"",A75)</f>
        <v/>
      </c>
      <c r="C75" s="1">
        <f>+IFERROR(HLOOKUP($B75,Resumen!$F$3:$AM$10,8,0),0)</f>
        <v>0</v>
      </c>
      <c r="D75" s="1">
        <f>+IFERROR(HLOOKUP($B75,Resumen!$F$3:$AM$12,10),0)</f>
        <v>0</v>
      </c>
      <c r="E75" s="1">
        <f>+IF(B75=Resumen!$C$38*6-6,1,0)</f>
        <v>0</v>
      </c>
      <c r="F75" s="1">
        <f>+IFERROR(HLOOKUP($B75,Resumen!$F$3:$AM$14,12),0)</f>
        <v>0</v>
      </c>
      <c r="G75" s="17">
        <f t="shared" si="30"/>
        <v>5.8207660913467407E-11</v>
      </c>
      <c r="H75" s="17">
        <f>IF(X75="",0,IF(F75=0,ROUND(SUM(J$2:J75)*X75,2),0))</f>
        <v>0</v>
      </c>
      <c r="I75" s="17">
        <f t="shared" si="16"/>
        <v>0</v>
      </c>
      <c r="J75" s="17">
        <f>(Resumen!$C$10*(1-Resumen!$C$24)*(1+Incmat)^5)*C75</f>
        <v>0</v>
      </c>
      <c r="K75" s="17">
        <f>+IF(F75=1,PMT(X75,(Resumen!$C$36+Resumen!$C$26+Resumen!$C$14*6-B75+1),-Amortizacion!G75),0)</f>
        <v>0</v>
      </c>
      <c r="L75" s="17">
        <f t="shared" si="18"/>
        <v>0</v>
      </c>
      <c r="M75" s="17">
        <f>+IF(Resumen!$C$20="no",H75,0)</f>
        <v>0</v>
      </c>
      <c r="N75" s="17">
        <f t="shared" si="19"/>
        <v>5.8207660913467407E-11</v>
      </c>
      <c r="O75" s="17">
        <f>+IF(AND(Resumen!$C$18="SI",Amortizacion!E75=1),SUM($H$2:J75)*25%,0)</f>
        <v>0</v>
      </c>
      <c r="P75" s="1">
        <f t="shared" si="27"/>
        <v>0</v>
      </c>
      <c r="Q75" s="17">
        <f t="shared" si="28"/>
        <v>0</v>
      </c>
      <c r="R75" s="17">
        <f t="shared" si="20"/>
        <v>0</v>
      </c>
      <c r="S75" s="17">
        <f>(Resumen!$C$10*(Resumen!$C$24)*(1+Incmat)^5)*$C75</f>
        <v>0</v>
      </c>
      <c r="T75" s="21">
        <f t="shared" si="21"/>
        <v>0</v>
      </c>
      <c r="U75" s="17">
        <f t="shared" si="22"/>
        <v>0</v>
      </c>
      <c r="V75" s="17">
        <f t="shared" si="23"/>
        <v>0</v>
      </c>
      <c r="W75" s="17">
        <f t="shared" si="29"/>
        <v>5.8207660913467407E-11</v>
      </c>
      <c r="X75" s="15" t="str">
        <f>+IF(B75="","",Resumen!$C$34)</f>
        <v/>
      </c>
      <c r="Y75" s="16">
        <f t="shared" si="17"/>
        <v>0</v>
      </c>
      <c r="Z75" s="20">
        <f t="shared" si="24"/>
        <v>0</v>
      </c>
      <c r="AA75" s="20">
        <f t="shared" si="25"/>
        <v>0</v>
      </c>
      <c r="AB75" s="20">
        <f>+IF(Resumen!$C$8="no",0,W75*((1+10%)^(0.0833333333333333)-1))</f>
        <v>0</v>
      </c>
    </row>
    <row r="76" spans="1:28" x14ac:dyDescent="0.35">
      <c r="A76">
        <f t="shared" si="26"/>
        <v>75</v>
      </c>
      <c r="B76" t="str">
        <f>+IF(A76&gt;Resumen!$C$40,"",A76)</f>
        <v/>
      </c>
      <c r="C76" s="1">
        <f>+IFERROR(HLOOKUP($B76,Resumen!$F$3:$AM$10,8,0),0)</f>
        <v>0</v>
      </c>
      <c r="D76" s="1">
        <f>+IFERROR(HLOOKUP($B76,Resumen!$F$3:$AM$12,10),0)</f>
        <v>0</v>
      </c>
      <c r="E76" s="1">
        <f>+IF(B76=Resumen!$C$38*6-6,1,0)</f>
        <v>0</v>
      </c>
      <c r="F76" s="1">
        <f>+IFERROR(HLOOKUP($B76,Resumen!$F$3:$AM$14,12),0)</f>
        <v>0</v>
      </c>
      <c r="G76" s="17">
        <f t="shared" si="30"/>
        <v>5.8207660913467407E-11</v>
      </c>
      <c r="H76" s="17">
        <f>IF(X76="",0,IF(F76=0,ROUND(SUM(J$2:J76)*X76,2),0))</f>
        <v>0</v>
      </c>
      <c r="I76" s="17">
        <f t="shared" si="16"/>
        <v>0</v>
      </c>
      <c r="J76" s="17">
        <f>(Resumen!$C$10*(1-Resumen!$C$24)*(1+Incmat)^5)*C76</f>
        <v>0</v>
      </c>
      <c r="K76" s="17">
        <f>+IF(F76=1,PMT(X76,(Resumen!$C$36+Resumen!$C$26+Resumen!$C$14*6-B76+1),-Amortizacion!G76),0)</f>
        <v>0</v>
      </c>
      <c r="L76" s="17">
        <f t="shared" si="18"/>
        <v>0</v>
      </c>
      <c r="M76" s="17">
        <f>+IF(Resumen!$C$20="no",H76,0)</f>
        <v>0</v>
      </c>
      <c r="N76" s="17">
        <f t="shared" si="19"/>
        <v>5.8207660913467407E-11</v>
      </c>
      <c r="O76" s="17">
        <f>+IF(AND(Resumen!$C$18="SI",Amortizacion!E76=1),SUM($H$2:J76)*25%,0)</f>
        <v>0</v>
      </c>
      <c r="P76" s="1">
        <f t="shared" si="27"/>
        <v>0</v>
      </c>
      <c r="Q76" s="17">
        <f t="shared" si="28"/>
        <v>0</v>
      </c>
      <c r="R76" s="17">
        <f t="shared" si="20"/>
        <v>0</v>
      </c>
      <c r="S76" s="17">
        <f>(Resumen!$C$10*(Resumen!$C$24)*(1+Incmat)^5)*$C76</f>
        <v>0</v>
      </c>
      <c r="T76" s="21">
        <f t="shared" si="21"/>
        <v>0</v>
      </c>
      <c r="U76" s="17">
        <f t="shared" si="22"/>
        <v>0</v>
      </c>
      <c r="V76" s="17">
        <f t="shared" si="23"/>
        <v>0</v>
      </c>
      <c r="W76" s="17">
        <f t="shared" si="29"/>
        <v>5.8207660913467407E-11</v>
      </c>
      <c r="X76" s="15" t="str">
        <f>+IF(B76="","",Resumen!$C$34)</f>
        <v/>
      </c>
      <c r="Y76" s="16">
        <f t="shared" si="17"/>
        <v>0</v>
      </c>
      <c r="Z76" s="20">
        <f t="shared" si="24"/>
        <v>0</v>
      </c>
      <c r="AA76" s="20">
        <f t="shared" si="25"/>
        <v>0</v>
      </c>
      <c r="AB76" s="20">
        <f>+IF(Resumen!$C$8="no",0,W76*((1+10%)^(0.0833333333333333)-1))</f>
        <v>0</v>
      </c>
    </row>
    <row r="77" spans="1:28" x14ac:dyDescent="0.35">
      <c r="A77">
        <f t="shared" si="26"/>
        <v>76</v>
      </c>
      <c r="B77" t="str">
        <f>+IF(A77&gt;Resumen!$C$40,"",A77)</f>
        <v/>
      </c>
      <c r="C77" s="1">
        <f>+IFERROR(HLOOKUP($B77,Resumen!$F$3:$AM$10,8,0),0)</f>
        <v>0</v>
      </c>
      <c r="D77" s="1">
        <f>+IFERROR(HLOOKUP($B77,Resumen!$F$3:$AM$12,10),0)</f>
        <v>0</v>
      </c>
      <c r="E77" s="1">
        <f>+IF(B77=Resumen!$C$38*6-6,1,0)</f>
        <v>0</v>
      </c>
      <c r="F77" s="1">
        <f>+IFERROR(HLOOKUP($B77,Resumen!$F$3:$AM$14,12),0)</f>
        <v>0</v>
      </c>
      <c r="G77" s="17">
        <f t="shared" si="30"/>
        <v>5.8207660913467407E-11</v>
      </c>
      <c r="H77" s="17">
        <f>IF(X77="",0,IF(F77=0,ROUND(SUM(J$2:J77)*X77,2),0))</f>
        <v>0</v>
      </c>
      <c r="I77" s="17">
        <f t="shared" si="16"/>
        <v>0</v>
      </c>
      <c r="J77" s="17">
        <f>(Resumen!$C$10*(1-Resumen!$C$24)*(1+Incmat)^5)*C77</f>
        <v>0</v>
      </c>
      <c r="K77" s="17">
        <f>+IF(F77=1,PMT(X77,(Resumen!$C$36+Resumen!$C$26+Resumen!$C$14*6-B77+1),-Amortizacion!G77),0)</f>
        <v>0</v>
      </c>
      <c r="L77" s="17">
        <f t="shared" si="18"/>
        <v>0</v>
      </c>
      <c r="M77" s="17">
        <f>+IF(Resumen!$C$20="no",H77,0)</f>
        <v>0</v>
      </c>
      <c r="N77" s="17">
        <f t="shared" si="19"/>
        <v>5.8207660913467407E-11</v>
      </c>
      <c r="O77" s="17">
        <f>+IF(AND(Resumen!$C$18="SI",Amortizacion!E77=1),SUM($H$2:J77)*25%,0)</f>
        <v>0</v>
      </c>
      <c r="P77" s="1">
        <f t="shared" si="27"/>
        <v>0</v>
      </c>
      <c r="Q77" s="17">
        <f t="shared" si="28"/>
        <v>0</v>
      </c>
      <c r="R77" s="17">
        <f t="shared" si="20"/>
        <v>0</v>
      </c>
      <c r="S77" s="17">
        <f>(Resumen!$C$10*(Resumen!$C$24)*(1+Incmat)^5)*$C77</f>
        <v>0</v>
      </c>
      <c r="T77" s="21">
        <f t="shared" si="21"/>
        <v>0</v>
      </c>
      <c r="U77" s="17">
        <f t="shared" si="22"/>
        <v>0</v>
      </c>
      <c r="V77" s="17">
        <f t="shared" si="23"/>
        <v>0</v>
      </c>
      <c r="W77" s="17">
        <f t="shared" si="29"/>
        <v>5.8207660913467407E-11</v>
      </c>
      <c r="X77" s="15" t="str">
        <f>+IF(B77="","",Resumen!$C$34)</f>
        <v/>
      </c>
      <c r="Y77" s="16">
        <f t="shared" si="17"/>
        <v>0</v>
      </c>
      <c r="Z77" s="20">
        <f t="shared" si="24"/>
        <v>0</v>
      </c>
      <c r="AA77" s="20">
        <f t="shared" si="25"/>
        <v>0</v>
      </c>
      <c r="AB77" s="20">
        <f>+IF(Resumen!$C$8="no",0,W77*((1+10%)^(0.0833333333333333)-1))</f>
        <v>0</v>
      </c>
    </row>
    <row r="78" spans="1:28" x14ac:dyDescent="0.35">
      <c r="A78">
        <f t="shared" si="26"/>
        <v>77</v>
      </c>
      <c r="B78" t="str">
        <f>+IF(A78&gt;Resumen!$C$40,"",A78)</f>
        <v/>
      </c>
      <c r="C78" s="1">
        <f>+IFERROR(HLOOKUP($B78,Resumen!$F$3:$AM$10,8,0),0)</f>
        <v>0</v>
      </c>
      <c r="D78" s="1">
        <f>+IFERROR(HLOOKUP($B78,Resumen!$F$3:$AM$12,10),0)</f>
        <v>0</v>
      </c>
      <c r="E78" s="1">
        <f>+IF(B78=Resumen!$C$38*6-6,1,0)</f>
        <v>0</v>
      </c>
      <c r="F78" s="1">
        <f>+IFERROR(HLOOKUP($B78,Resumen!$F$3:$AM$14,12),0)</f>
        <v>0</v>
      </c>
      <c r="G78" s="17">
        <f t="shared" si="30"/>
        <v>5.8207660913467407E-11</v>
      </c>
      <c r="H78" s="17">
        <f>IF(X78="",0,IF(F78=0,ROUND(SUM(J$2:J78)*X78,2),0))</f>
        <v>0</v>
      </c>
      <c r="I78" s="17">
        <f t="shared" si="16"/>
        <v>0</v>
      </c>
      <c r="J78" s="17">
        <f>(Resumen!$C$10*(1-Resumen!$C$24)*(1+Incmat)^5)*C78</f>
        <v>0</v>
      </c>
      <c r="K78" s="17">
        <f>+IF(F78=1,PMT(X78,(Resumen!$C$36+Resumen!$C$26+Resumen!$C$14*6-B78+1),-Amortizacion!G78),0)</f>
        <v>0</v>
      </c>
      <c r="L78" s="17">
        <f t="shared" si="18"/>
        <v>0</v>
      </c>
      <c r="M78" s="17">
        <f>+IF(Resumen!$C$20="no",H78,0)</f>
        <v>0</v>
      </c>
      <c r="N78" s="17">
        <f t="shared" si="19"/>
        <v>5.8207660913467407E-11</v>
      </c>
      <c r="O78" s="17">
        <f>+IF(AND(Resumen!$C$18="SI",Amortizacion!E78=1),SUM($H$2:J78)*25%,0)</f>
        <v>0</v>
      </c>
      <c r="P78" s="1">
        <f t="shared" si="27"/>
        <v>0</v>
      </c>
      <c r="Q78" s="17">
        <f t="shared" si="28"/>
        <v>0</v>
      </c>
      <c r="R78" s="17">
        <f t="shared" si="20"/>
        <v>0</v>
      </c>
      <c r="S78" s="17">
        <f>(Resumen!$C$10*(Resumen!$C$24)*(1+Incmat)^5)*$C78</f>
        <v>0</v>
      </c>
      <c r="T78" s="21">
        <f t="shared" si="21"/>
        <v>0</v>
      </c>
      <c r="U78" s="17">
        <f t="shared" si="22"/>
        <v>0</v>
      </c>
      <c r="V78" s="17">
        <f t="shared" si="23"/>
        <v>0</v>
      </c>
      <c r="W78" s="17">
        <f t="shared" si="29"/>
        <v>5.8207660913467407E-11</v>
      </c>
      <c r="X78" s="15" t="str">
        <f>+IF(B78="","",Resumen!$C$34)</f>
        <v/>
      </c>
      <c r="Y78" s="16">
        <f t="shared" si="17"/>
        <v>0</v>
      </c>
      <c r="Z78" s="20">
        <f t="shared" si="24"/>
        <v>0</v>
      </c>
      <c r="AA78" s="20">
        <f t="shared" si="25"/>
        <v>0</v>
      </c>
      <c r="AB78" s="20">
        <f>+IF(Resumen!$C$8="no",0,W78*((1+10%)^(0.0833333333333333)-1))</f>
        <v>0</v>
      </c>
    </row>
    <row r="79" spans="1:28" x14ac:dyDescent="0.35">
      <c r="A79">
        <f t="shared" si="26"/>
        <v>78</v>
      </c>
      <c r="B79" t="str">
        <f>+IF(A79&gt;Resumen!$C$40,"",A79)</f>
        <v/>
      </c>
      <c r="C79" s="1">
        <f>+IFERROR(HLOOKUP($B79,Resumen!$F$3:$AM$10,8,0),0)</f>
        <v>0</v>
      </c>
      <c r="D79" s="1">
        <f>+IFERROR(HLOOKUP($B79,Resumen!$F$3:$AM$12,10),0)</f>
        <v>0</v>
      </c>
      <c r="E79" s="1">
        <f>+IF(B79=Resumen!$C$38*6-6,1,0)</f>
        <v>0</v>
      </c>
      <c r="F79" s="1">
        <f>+IFERROR(HLOOKUP($B79,Resumen!$F$3:$AM$14,12),0)</f>
        <v>0</v>
      </c>
      <c r="G79" s="17">
        <f t="shared" si="30"/>
        <v>5.8207660913467407E-11</v>
      </c>
      <c r="H79" s="17">
        <f>IF(X79="",0,IF(F79=0,ROUND(SUM(J$2:J79)*X79,2),0))</f>
        <v>0</v>
      </c>
      <c r="I79" s="17">
        <f t="shared" si="16"/>
        <v>0</v>
      </c>
      <c r="J79" s="17">
        <f>(Resumen!$C$10*(1-Resumen!$C$24)*(1+Incmat)^5)*C79</f>
        <v>0</v>
      </c>
      <c r="K79" s="17">
        <f>+IF(F79=1,PMT(X79,(Resumen!$C$36+Resumen!$C$26+Resumen!$C$14*6-B79+1),-Amortizacion!G79),0)</f>
        <v>0</v>
      </c>
      <c r="L79" s="17">
        <f t="shared" si="18"/>
        <v>0</v>
      </c>
      <c r="M79" s="17">
        <f>+IF(Resumen!$C$20="no",H79,0)</f>
        <v>0</v>
      </c>
      <c r="N79" s="17">
        <f t="shared" si="19"/>
        <v>5.8207660913467407E-11</v>
      </c>
      <c r="O79" s="17">
        <f>+IF(AND(Resumen!$C$18="SI",Amortizacion!E79=1),SUM($H$2:J79)*25%,0)</f>
        <v>0</v>
      </c>
      <c r="P79" s="1">
        <f t="shared" si="27"/>
        <v>0</v>
      </c>
      <c r="Q79" s="17">
        <f t="shared" si="28"/>
        <v>0</v>
      </c>
      <c r="R79" s="17">
        <f t="shared" si="20"/>
        <v>0</v>
      </c>
      <c r="S79" s="17">
        <f>(Resumen!$C$10*(Resumen!$C$24)*(1+Incmat)^5)*$C79</f>
        <v>0</v>
      </c>
      <c r="T79" s="21">
        <f t="shared" si="21"/>
        <v>0</v>
      </c>
      <c r="U79" s="17">
        <f t="shared" si="22"/>
        <v>0</v>
      </c>
      <c r="V79" s="17">
        <f t="shared" si="23"/>
        <v>0</v>
      </c>
      <c r="W79" s="17">
        <f t="shared" si="29"/>
        <v>5.8207660913467407E-11</v>
      </c>
      <c r="X79" s="15" t="str">
        <f>+IF(B79="","",Resumen!$C$34)</f>
        <v/>
      </c>
      <c r="Y79" s="16">
        <f t="shared" si="17"/>
        <v>0</v>
      </c>
      <c r="Z79" s="20">
        <f t="shared" si="24"/>
        <v>0</v>
      </c>
      <c r="AA79" s="20">
        <f t="shared" si="25"/>
        <v>0</v>
      </c>
      <c r="AB79" s="20">
        <f>+IF(Resumen!$C$8="no",0,W79*((1+10%)^(0.0833333333333333)-1))</f>
        <v>0</v>
      </c>
    </row>
    <row r="80" spans="1:28" x14ac:dyDescent="0.35">
      <c r="A80">
        <f t="shared" si="26"/>
        <v>79</v>
      </c>
      <c r="B80" t="str">
        <f>+IF(A80&gt;Resumen!$C$40,"",A80)</f>
        <v/>
      </c>
      <c r="C80" s="1">
        <f>+IFERROR(HLOOKUP($B80,Resumen!$F$3:$AM$10,8,0),0)</f>
        <v>0</v>
      </c>
      <c r="D80" s="1">
        <f>+IFERROR(HLOOKUP($B80,Resumen!$F$3:$AM$12,10),0)</f>
        <v>0</v>
      </c>
      <c r="E80" s="1">
        <f>+IF(B80=Resumen!$C$38*6-6,1,0)</f>
        <v>0</v>
      </c>
      <c r="F80" s="1">
        <f>+IFERROR(HLOOKUP($B80,Resumen!$F$3:$AM$14,12),0)</f>
        <v>0</v>
      </c>
      <c r="G80" s="17">
        <f t="shared" si="30"/>
        <v>5.8207660913467407E-11</v>
      </c>
      <c r="H80" s="17">
        <f>IF(X80="",0,IF(F80=0,ROUND(SUM(J$2:J80)*X80,2),0))</f>
        <v>0</v>
      </c>
      <c r="I80" s="17">
        <f t="shared" si="16"/>
        <v>0</v>
      </c>
      <c r="J80" s="17">
        <f>(Resumen!$C$10*(1-Resumen!$C$24)*(1+Incmat)^5)*C80</f>
        <v>0</v>
      </c>
      <c r="K80" s="17">
        <f>+IF(F80=1,PMT(X80,(Resumen!$C$36+Resumen!$C$26+Resumen!$C$14*6-B80+1),-Amortizacion!G80),0)</f>
        <v>0</v>
      </c>
      <c r="L80" s="17">
        <f t="shared" si="18"/>
        <v>0</v>
      </c>
      <c r="M80" s="17">
        <f>+IF(Resumen!$C$20="no",H80,0)</f>
        <v>0</v>
      </c>
      <c r="N80" s="17">
        <f t="shared" si="19"/>
        <v>5.8207660913467407E-11</v>
      </c>
      <c r="O80" s="17">
        <f>+IF(AND(Resumen!$C$18="SI",Amortizacion!E80=1),SUM($H$2:J80)*25%,0)</f>
        <v>0</v>
      </c>
      <c r="P80" s="1">
        <f t="shared" si="27"/>
        <v>0</v>
      </c>
      <c r="Q80" s="17">
        <f t="shared" si="28"/>
        <v>0</v>
      </c>
      <c r="R80" s="17">
        <f t="shared" si="20"/>
        <v>0</v>
      </c>
      <c r="S80" s="17">
        <f>(Resumen!$C$10*(Resumen!$C$24)*(1+Incmat)^5)*$C80</f>
        <v>0</v>
      </c>
      <c r="T80" s="21">
        <f t="shared" si="21"/>
        <v>0</v>
      </c>
      <c r="U80" s="17">
        <f t="shared" si="22"/>
        <v>0</v>
      </c>
      <c r="V80" s="17">
        <f t="shared" si="23"/>
        <v>0</v>
      </c>
      <c r="W80" s="17">
        <f t="shared" si="29"/>
        <v>5.8207660913467407E-11</v>
      </c>
      <c r="X80" s="15" t="str">
        <f>+IF(B80="","",Resumen!$C$34)</f>
        <v/>
      </c>
      <c r="Y80" s="16">
        <f t="shared" si="17"/>
        <v>0</v>
      </c>
      <c r="Z80" s="20">
        <f t="shared" si="24"/>
        <v>0</v>
      </c>
      <c r="AA80" s="20">
        <f t="shared" si="25"/>
        <v>0</v>
      </c>
      <c r="AB80" s="20">
        <f>+IF(Resumen!$C$8="no",0,W80*((1+10%)^(0.0833333333333333)-1))</f>
        <v>0</v>
      </c>
    </row>
    <row r="81" spans="1:28" x14ac:dyDescent="0.35">
      <c r="A81">
        <f t="shared" si="26"/>
        <v>80</v>
      </c>
      <c r="B81" t="str">
        <f>+IF(A81&gt;Resumen!$C$40,"",A81)</f>
        <v/>
      </c>
      <c r="C81" s="1">
        <f>+IFERROR(HLOOKUP($B81,Resumen!$F$3:$AM$10,8,0),0)</f>
        <v>0</v>
      </c>
      <c r="D81" s="1">
        <f>+IFERROR(HLOOKUP($B81,Resumen!$F$3:$AM$12,10),0)</f>
        <v>0</v>
      </c>
      <c r="E81" s="1">
        <f>+IF(B81=Resumen!$C$38*6-6,1,0)</f>
        <v>0</v>
      </c>
      <c r="F81" s="1">
        <f>+IFERROR(HLOOKUP($B81,Resumen!$F$3:$AM$14,12),0)</f>
        <v>0</v>
      </c>
      <c r="G81" s="17">
        <f t="shared" si="30"/>
        <v>5.8207660913467407E-11</v>
      </c>
      <c r="H81" s="17">
        <f>IF(X81="",0,IF(F81=0,ROUND(SUM(J$2:J81)*X81,2),0))</f>
        <v>0</v>
      </c>
      <c r="I81" s="17">
        <f t="shared" si="16"/>
        <v>0</v>
      </c>
      <c r="J81" s="17">
        <f>(Resumen!$C$10*(1-Resumen!$C$24)*(1+Incmat)^5)*C81</f>
        <v>0</v>
      </c>
      <c r="K81" s="17">
        <f>+IF(F81=1,PMT(X81,(Resumen!$C$36+Resumen!$C$26+Resumen!$C$14*6-B81+1),-Amortizacion!G81),0)</f>
        <v>0</v>
      </c>
      <c r="L81" s="17">
        <f t="shared" si="18"/>
        <v>0</v>
      </c>
      <c r="M81" s="17">
        <f>+IF(Resumen!$C$20="no",H81,0)</f>
        <v>0</v>
      </c>
      <c r="N81" s="17">
        <f t="shared" si="19"/>
        <v>5.8207660913467407E-11</v>
      </c>
      <c r="O81" s="17">
        <f>+IF(AND(Resumen!$C$18="SI",Amortizacion!E81=1),SUM($H$2:J81)*25%,0)</f>
        <v>0</v>
      </c>
      <c r="P81" s="1">
        <f t="shared" si="27"/>
        <v>0</v>
      </c>
      <c r="Q81" s="17">
        <f t="shared" si="28"/>
        <v>0</v>
      </c>
      <c r="R81" s="17">
        <f t="shared" si="20"/>
        <v>0</v>
      </c>
      <c r="S81" s="17">
        <f>(Resumen!$C$10*(Resumen!$C$24)*(1+Incmat)^5)*$C81</f>
        <v>0</v>
      </c>
      <c r="T81" s="21">
        <f t="shared" si="21"/>
        <v>0</v>
      </c>
      <c r="U81" s="17">
        <f t="shared" si="22"/>
        <v>0</v>
      </c>
      <c r="V81" s="17">
        <f t="shared" si="23"/>
        <v>0</v>
      </c>
      <c r="W81" s="17">
        <f t="shared" si="29"/>
        <v>5.8207660913467407E-11</v>
      </c>
      <c r="X81" s="15" t="str">
        <f>+IF(B81="","",Resumen!$C$34)</f>
        <v/>
      </c>
      <c r="Y81" s="16">
        <f t="shared" si="17"/>
        <v>0</v>
      </c>
      <c r="Z81" s="20">
        <f t="shared" si="24"/>
        <v>0</v>
      </c>
      <c r="AA81" s="20">
        <f t="shared" si="25"/>
        <v>0</v>
      </c>
      <c r="AB81" s="20">
        <f>+IF(Resumen!$C$8="no",0,W81*((1+10%)^(0.0833333333333333)-1))</f>
        <v>0</v>
      </c>
    </row>
    <row r="82" spans="1:28" x14ac:dyDescent="0.35">
      <c r="A82">
        <f t="shared" si="26"/>
        <v>81</v>
      </c>
      <c r="B82" t="str">
        <f>+IF(A82&gt;Resumen!$C$40,"",A82)</f>
        <v/>
      </c>
      <c r="C82" s="1">
        <f>+IFERROR(HLOOKUP($B82,Resumen!$F$3:$AM$10,8,0),0)</f>
        <v>0</v>
      </c>
      <c r="D82" s="1">
        <f>+IFERROR(HLOOKUP($B82,Resumen!$F$3:$AM$12,10),0)</f>
        <v>0</v>
      </c>
      <c r="E82" s="1">
        <f>+IF(B82=Resumen!$C$38*6-6,1,0)</f>
        <v>0</v>
      </c>
      <c r="F82" s="1">
        <f>+IFERROR(HLOOKUP($B82,Resumen!$F$3:$AM$14,12),0)</f>
        <v>0</v>
      </c>
      <c r="G82" s="17">
        <f t="shared" si="30"/>
        <v>5.8207660913467407E-11</v>
      </c>
      <c r="H82" s="17">
        <f>IF(X82="",0,IF(F82=0,ROUND(SUM(J$2:J82)*X82,2),0))</f>
        <v>0</v>
      </c>
      <c r="I82" s="17">
        <f t="shared" si="16"/>
        <v>0</v>
      </c>
      <c r="J82" s="17">
        <f>(Resumen!$C$10*(1-Resumen!$C$24)*(1+Incmat)^5)*C82</f>
        <v>0</v>
      </c>
      <c r="K82" s="17">
        <f>+IF(F82=1,PMT(X82,(Resumen!$C$36+Resumen!$C$26+Resumen!$C$14*6-B82+1),-Amortizacion!G82),0)</f>
        <v>0</v>
      </c>
      <c r="L82" s="17">
        <f t="shared" si="18"/>
        <v>0</v>
      </c>
      <c r="M82" s="17">
        <f>+IF(Resumen!$C$20="no",H82,0)</f>
        <v>0</v>
      </c>
      <c r="N82" s="17">
        <f t="shared" si="19"/>
        <v>5.8207660913467407E-11</v>
      </c>
      <c r="O82" s="17">
        <f>+IF(AND(Resumen!$C$18="SI",Amortizacion!E82=1),SUM($H$2:J82)*25%,0)</f>
        <v>0</v>
      </c>
      <c r="P82" s="1">
        <f t="shared" si="27"/>
        <v>0</v>
      </c>
      <c r="Q82" s="17">
        <f t="shared" si="28"/>
        <v>0</v>
      </c>
      <c r="R82" s="17">
        <f t="shared" si="20"/>
        <v>0</v>
      </c>
      <c r="S82" s="17">
        <f>(Resumen!$C$10*(Resumen!$C$24)*(1+Incmat)^5)*$C82</f>
        <v>0</v>
      </c>
      <c r="T82" s="21">
        <f t="shared" si="21"/>
        <v>0</v>
      </c>
      <c r="U82" s="17">
        <f t="shared" si="22"/>
        <v>0</v>
      </c>
      <c r="V82" s="17">
        <f t="shared" si="23"/>
        <v>0</v>
      </c>
      <c r="W82" s="17">
        <f t="shared" si="29"/>
        <v>5.8207660913467407E-11</v>
      </c>
      <c r="X82" s="15" t="str">
        <f>+IF(B82="","",Resumen!$C$34)</f>
        <v/>
      </c>
      <c r="Y82" s="16">
        <f t="shared" si="17"/>
        <v>0</v>
      </c>
      <c r="Z82" s="20">
        <f t="shared" si="24"/>
        <v>0</v>
      </c>
      <c r="AA82" s="20">
        <f t="shared" si="25"/>
        <v>0</v>
      </c>
      <c r="AB82" s="20">
        <f>+IF(Resumen!$C$8="no",0,W82*((1+10%)^(0.0833333333333333)-1))</f>
        <v>0</v>
      </c>
    </row>
    <row r="83" spans="1:28" x14ac:dyDescent="0.35">
      <c r="A83">
        <f t="shared" si="26"/>
        <v>82</v>
      </c>
      <c r="B83" t="str">
        <f>+IF(A83&gt;Resumen!$C$40,"",A83)</f>
        <v/>
      </c>
      <c r="C83" s="1">
        <f>+IFERROR(HLOOKUP($B83,Resumen!$F$3:$AM$10,8,0),0)</f>
        <v>0</v>
      </c>
      <c r="D83" s="1">
        <f>+IFERROR(HLOOKUP($B83,Resumen!$F$3:$AM$12,10),0)</f>
        <v>0</v>
      </c>
      <c r="E83" s="1">
        <f>+IF(B83=Resumen!$C$38*6-6,1,0)</f>
        <v>0</v>
      </c>
      <c r="F83" s="1">
        <f>+IFERROR(HLOOKUP($B83,Resumen!$F$3:$AM$14,12),0)</f>
        <v>0</v>
      </c>
      <c r="G83" s="17">
        <f t="shared" si="30"/>
        <v>5.8207660913467407E-11</v>
      </c>
      <c r="H83" s="17">
        <f>IF(X83="",0,IF(F83=0,ROUND(SUM(J$2:J83)*X83,2),0))</f>
        <v>0</v>
      </c>
      <c r="I83" s="17">
        <f t="shared" si="16"/>
        <v>0</v>
      </c>
      <c r="J83" s="17">
        <f>(Resumen!$C$10*(1-Resumen!$C$24)*(1+Incmat)^5)*C83</f>
        <v>0</v>
      </c>
      <c r="K83" s="17">
        <f>+IF(F83=1,PMT(X83,(Resumen!$C$36+Resumen!$C$26+Resumen!$C$14*6-B83+1),-Amortizacion!G83),0)</f>
        <v>0</v>
      </c>
      <c r="L83" s="17">
        <f t="shared" si="18"/>
        <v>0</v>
      </c>
      <c r="M83" s="17">
        <f>+IF(Resumen!$C$20="no",H83,0)</f>
        <v>0</v>
      </c>
      <c r="N83" s="17">
        <f t="shared" si="19"/>
        <v>5.8207660913467407E-11</v>
      </c>
      <c r="O83" s="17">
        <f>+IF(AND(Resumen!$C$18="SI",Amortizacion!E83=1),SUM($H$2:J83)*25%,0)</f>
        <v>0</v>
      </c>
      <c r="P83" s="1">
        <f t="shared" si="27"/>
        <v>0</v>
      </c>
      <c r="Q83" s="17">
        <f t="shared" si="28"/>
        <v>0</v>
      </c>
      <c r="R83" s="17">
        <f t="shared" si="20"/>
        <v>0</v>
      </c>
      <c r="S83" s="17">
        <f>(Resumen!$C$10*(Resumen!$C$24)*(1+Incmat)^5)*$C83</f>
        <v>0</v>
      </c>
      <c r="T83" s="21">
        <f t="shared" si="21"/>
        <v>0</v>
      </c>
      <c r="U83" s="17">
        <f t="shared" si="22"/>
        <v>0</v>
      </c>
      <c r="V83" s="17">
        <f t="shared" si="23"/>
        <v>0</v>
      </c>
      <c r="W83" s="17">
        <f t="shared" si="29"/>
        <v>5.8207660913467407E-11</v>
      </c>
      <c r="X83" s="15" t="str">
        <f>+IF(B83="","",Resumen!$C$34)</f>
        <v/>
      </c>
      <c r="Y83" s="16">
        <f t="shared" si="17"/>
        <v>0</v>
      </c>
      <c r="Z83" s="20">
        <f t="shared" si="24"/>
        <v>0</v>
      </c>
      <c r="AA83" s="20">
        <f t="shared" si="25"/>
        <v>0</v>
      </c>
      <c r="AB83" s="20">
        <f>+IF(Resumen!$C$8="no",0,W83*((1+10%)^(0.0833333333333333)-1))</f>
        <v>0</v>
      </c>
    </row>
    <row r="84" spans="1:28" x14ac:dyDescent="0.35">
      <c r="A84">
        <f t="shared" si="26"/>
        <v>83</v>
      </c>
      <c r="B84" t="str">
        <f>+IF(A84&gt;Resumen!$C$40,"",A84)</f>
        <v/>
      </c>
      <c r="C84" s="1">
        <f>+IFERROR(HLOOKUP($B84,Resumen!$F$3:$AM$10,8,0),0)</f>
        <v>0</v>
      </c>
      <c r="D84" s="1">
        <f>+IFERROR(HLOOKUP($B84,Resumen!$F$3:$AM$12,10),0)</f>
        <v>0</v>
      </c>
      <c r="E84" s="1">
        <f>+IF(B84=Resumen!$C$38*6-6,1,0)</f>
        <v>0</v>
      </c>
      <c r="F84" s="1">
        <f>+IFERROR(HLOOKUP($B84,Resumen!$F$3:$AM$14,12),0)</f>
        <v>0</v>
      </c>
      <c r="G84" s="17">
        <f t="shared" si="30"/>
        <v>5.8207660913467407E-11</v>
      </c>
      <c r="H84" s="17">
        <f>IF(X84="",0,IF(F84=0,ROUND(SUM(J$2:J84)*X84,2),0))</f>
        <v>0</v>
      </c>
      <c r="I84" s="17">
        <f t="shared" si="16"/>
        <v>0</v>
      </c>
      <c r="J84" s="17">
        <f>(Resumen!$C$10*(1-Resumen!$C$24)*(1+Incmat)^5)*C84</f>
        <v>0</v>
      </c>
      <c r="K84" s="17">
        <f>+IF(F84=1,PMT(X84,(Resumen!$C$36+Resumen!$C$26+Resumen!$C$14*6-B84+1),-Amortizacion!G84),0)</f>
        <v>0</v>
      </c>
      <c r="L84" s="17">
        <f t="shared" si="18"/>
        <v>0</v>
      </c>
      <c r="M84" s="17">
        <f>+IF(Resumen!$C$20="no",H84,0)</f>
        <v>0</v>
      </c>
      <c r="N84" s="17">
        <f t="shared" si="19"/>
        <v>5.8207660913467407E-11</v>
      </c>
      <c r="O84" s="17">
        <f>+IF(AND(Resumen!$C$18="SI",Amortizacion!E84=1),SUM($H$2:J84)*25%,0)</f>
        <v>0</v>
      </c>
      <c r="P84" s="1">
        <f t="shared" si="27"/>
        <v>0</v>
      </c>
      <c r="Q84" s="17">
        <f t="shared" si="28"/>
        <v>0</v>
      </c>
      <c r="R84" s="17">
        <f t="shared" si="20"/>
        <v>0</v>
      </c>
      <c r="S84" s="17">
        <f>(Resumen!$C$10*(Resumen!$C$24)*(1+Incmat)^5)*$C84</f>
        <v>0</v>
      </c>
      <c r="T84" s="21">
        <f t="shared" si="21"/>
        <v>0</v>
      </c>
      <c r="U84" s="17">
        <f t="shared" si="22"/>
        <v>0</v>
      </c>
      <c r="V84" s="17">
        <f t="shared" si="23"/>
        <v>0</v>
      </c>
      <c r="W84" s="17">
        <f t="shared" si="29"/>
        <v>5.8207660913467407E-11</v>
      </c>
      <c r="X84" s="15" t="str">
        <f>+IF(B84="","",Resumen!$C$34)</f>
        <v/>
      </c>
      <c r="Y84" s="16">
        <f t="shared" si="17"/>
        <v>0</v>
      </c>
      <c r="Z84" s="20">
        <f t="shared" si="24"/>
        <v>0</v>
      </c>
      <c r="AA84" s="20">
        <f t="shared" si="25"/>
        <v>0</v>
      </c>
      <c r="AB84" s="20">
        <f>+IF(Resumen!$C$8="no",0,W84*((1+10%)^(0.0833333333333333)-1))</f>
        <v>0</v>
      </c>
    </row>
    <row r="85" spans="1:28" x14ac:dyDescent="0.35">
      <c r="A85">
        <f t="shared" si="26"/>
        <v>84</v>
      </c>
      <c r="B85" t="str">
        <f>+IF(A85&gt;Resumen!$C$40,"",A85)</f>
        <v/>
      </c>
      <c r="C85" s="1">
        <f>+IFERROR(HLOOKUP($B85,Resumen!$F$3:$AM$10,8,0),0)</f>
        <v>0</v>
      </c>
      <c r="D85" s="1">
        <f>+IFERROR(HLOOKUP($B85,Resumen!$F$3:$AM$12,10),0)</f>
        <v>0</v>
      </c>
      <c r="E85" s="1">
        <f>+IF(B85=Resumen!$C$38*6-6,1,0)</f>
        <v>0</v>
      </c>
      <c r="F85" s="1">
        <f>+IFERROR(HLOOKUP($B85,Resumen!$F$3:$AM$14,12),0)</f>
        <v>0</v>
      </c>
      <c r="G85" s="17">
        <f t="shared" si="30"/>
        <v>5.8207660913467407E-11</v>
      </c>
      <c r="H85" s="17">
        <f>IF(X85="",0,IF(F85=0,ROUND(SUM(J$2:J85)*X85,2),0))</f>
        <v>0</v>
      </c>
      <c r="I85" s="17">
        <f t="shared" si="16"/>
        <v>0</v>
      </c>
      <c r="J85" s="17">
        <f>(Resumen!$C$10*(1-Resumen!$C$24)*(1+Incmat)^5)*C85</f>
        <v>0</v>
      </c>
      <c r="K85" s="17">
        <f>+IF(F85=1,PMT(X85,(Resumen!$C$36+Resumen!$C$26+Resumen!$C$14*6-B85+1),-Amortizacion!G85),0)</f>
        <v>0</v>
      </c>
      <c r="L85" s="17">
        <f t="shared" si="18"/>
        <v>0</v>
      </c>
      <c r="M85" s="17">
        <f>+IF(Resumen!$C$20="no",H85,0)</f>
        <v>0</v>
      </c>
      <c r="N85" s="17">
        <f t="shared" si="19"/>
        <v>5.8207660913467407E-11</v>
      </c>
      <c r="O85" s="17">
        <f>+IF(AND(Resumen!$C$18="SI",Amortizacion!E85=1),SUM($H$2:J85)*25%,0)</f>
        <v>0</v>
      </c>
      <c r="P85" s="1">
        <f t="shared" si="27"/>
        <v>0</v>
      </c>
      <c r="Q85" s="17">
        <f t="shared" si="28"/>
        <v>0</v>
      </c>
      <c r="R85" s="17">
        <f t="shared" si="20"/>
        <v>0</v>
      </c>
      <c r="S85" s="17">
        <f>(Resumen!$C$10*(Resumen!$C$24)*(1+Incmat)^5)*$C85</f>
        <v>0</v>
      </c>
      <c r="T85" s="21">
        <f t="shared" si="21"/>
        <v>0</v>
      </c>
      <c r="U85" s="17">
        <f t="shared" si="22"/>
        <v>0</v>
      </c>
      <c r="V85" s="17">
        <f t="shared" si="23"/>
        <v>0</v>
      </c>
      <c r="W85" s="17">
        <f t="shared" si="29"/>
        <v>5.8207660913467407E-11</v>
      </c>
      <c r="X85" s="15" t="str">
        <f>+IF(B85="","",Resumen!$C$34)</f>
        <v/>
      </c>
      <c r="Y85" s="16">
        <f t="shared" si="17"/>
        <v>0</v>
      </c>
      <c r="Z85" s="20">
        <f t="shared" si="24"/>
        <v>0</v>
      </c>
      <c r="AA85" s="20">
        <f t="shared" si="25"/>
        <v>0</v>
      </c>
      <c r="AB85" s="20">
        <f>+IF(Resumen!$C$8="no",0,W85*((1+10%)^(0.0833333333333333)-1))</f>
        <v>0</v>
      </c>
    </row>
    <row r="86" spans="1:28" x14ac:dyDescent="0.35">
      <c r="A86">
        <f t="shared" si="26"/>
        <v>85</v>
      </c>
      <c r="B86" t="str">
        <f>+IF(A86&gt;Resumen!$C$40,"",A86)</f>
        <v/>
      </c>
      <c r="C86" s="1">
        <f>+IFERROR(HLOOKUP($B86,Resumen!$F$3:$AM$10,8,0),0)</f>
        <v>0</v>
      </c>
      <c r="D86" s="1">
        <f>+IFERROR(HLOOKUP($B86,Resumen!$F$3:$AM$12,10),0)</f>
        <v>0</v>
      </c>
      <c r="E86" s="1">
        <f>+IF(B86=Resumen!$C$38*6-6,1,0)</f>
        <v>0</v>
      </c>
      <c r="F86" s="1">
        <f>+IFERROR(HLOOKUP($B86,Resumen!$F$3:$AM$14,12),0)</f>
        <v>0</v>
      </c>
      <c r="G86" s="17">
        <f t="shared" si="30"/>
        <v>5.8207660913467407E-11</v>
      </c>
      <c r="H86" s="17">
        <f>IF(X86="",0,IF(F86=0,ROUND(SUM(J$2:J86)*X86,2),0))</f>
        <v>0</v>
      </c>
      <c r="I86" s="17">
        <f t="shared" si="16"/>
        <v>0</v>
      </c>
      <c r="J86" s="17">
        <f>(Resumen!$C$10*(1-Resumen!$C$24)*(1+Incmat)^5)*C86</f>
        <v>0</v>
      </c>
      <c r="K86" s="17">
        <f>+IF(F86=1,PMT(X86,(Resumen!$C$36+Resumen!$C$26+Resumen!$C$14*6-B86+1),-Amortizacion!G86),0)</f>
        <v>0</v>
      </c>
      <c r="L86" s="17">
        <f t="shared" si="18"/>
        <v>0</v>
      </c>
      <c r="M86" s="17">
        <f>+IF(Resumen!$C$20="no",H86,0)</f>
        <v>0</v>
      </c>
      <c r="N86" s="17">
        <f t="shared" si="19"/>
        <v>5.8207660913467407E-11</v>
      </c>
      <c r="O86" s="17">
        <f>+IF(AND(Resumen!$C$18="SI",Amortizacion!E86=1),SUM($H$2:J86)*25%,0)</f>
        <v>0</v>
      </c>
      <c r="P86" s="1">
        <f t="shared" si="27"/>
        <v>0</v>
      </c>
      <c r="Q86" s="17">
        <f t="shared" si="28"/>
        <v>0</v>
      </c>
      <c r="R86" s="17">
        <f t="shared" si="20"/>
        <v>0</v>
      </c>
      <c r="S86" s="17">
        <f>(Resumen!$C$10*(Resumen!$C$24)*(1+Incmat)^5)*$C86</f>
        <v>0</v>
      </c>
      <c r="T86" s="21">
        <f t="shared" si="21"/>
        <v>0</v>
      </c>
      <c r="U86" s="17">
        <f t="shared" si="22"/>
        <v>0</v>
      </c>
      <c r="V86" s="17">
        <f t="shared" si="23"/>
        <v>0</v>
      </c>
      <c r="W86" s="17">
        <f t="shared" si="29"/>
        <v>5.8207660913467407E-11</v>
      </c>
      <c r="X86" s="15" t="str">
        <f>+IF(B86="","",Resumen!$C$34)</f>
        <v/>
      </c>
      <c r="Y86" s="16">
        <f t="shared" si="17"/>
        <v>0</v>
      </c>
      <c r="Z86" s="20">
        <f t="shared" si="24"/>
        <v>0</v>
      </c>
      <c r="AA86" s="20">
        <f t="shared" si="25"/>
        <v>0</v>
      </c>
      <c r="AB86" s="20">
        <f>+IF(Resumen!$C$8="no",0,W86*((1+10%)^(0.0833333333333333)-1))</f>
        <v>0</v>
      </c>
    </row>
    <row r="87" spans="1:28" x14ac:dyDescent="0.35">
      <c r="A87">
        <f t="shared" si="26"/>
        <v>86</v>
      </c>
      <c r="B87" t="str">
        <f>+IF(A87&gt;Resumen!$C$40,"",A87)</f>
        <v/>
      </c>
      <c r="C87" s="1">
        <f>+IFERROR(HLOOKUP($B87,Resumen!$F$3:$AM$10,8,0),0)</f>
        <v>0</v>
      </c>
      <c r="D87" s="1">
        <f>+IFERROR(HLOOKUP($B87,Resumen!$F$3:$AM$12,10),0)</f>
        <v>0</v>
      </c>
      <c r="E87" s="1">
        <f>+IF(B87=Resumen!$C$38*6-6,1,0)</f>
        <v>0</v>
      </c>
      <c r="F87" s="1">
        <f>+IFERROR(HLOOKUP($B87,Resumen!$F$3:$AM$14,12),0)</f>
        <v>0</v>
      </c>
      <c r="G87" s="17">
        <f t="shared" si="30"/>
        <v>5.8207660913467407E-11</v>
      </c>
      <c r="H87" s="17">
        <f>IF(X87="",0,IF(F87=0,ROUND(SUM(J$2:J87)*X87,2),0))</f>
        <v>0</v>
      </c>
      <c r="I87" s="17">
        <f t="shared" si="16"/>
        <v>0</v>
      </c>
      <c r="J87" s="17">
        <f>(Resumen!$C$10*(1-Resumen!$C$24)*(1+Incmat)^5)*C87</f>
        <v>0</v>
      </c>
      <c r="K87" s="17">
        <f>+IF(F87=1,PMT(X87,(Resumen!$C$36+Resumen!$C$26+Resumen!$C$14*6-B87+1),-Amortizacion!G87),0)</f>
        <v>0</v>
      </c>
      <c r="L87" s="17">
        <f t="shared" si="18"/>
        <v>0</v>
      </c>
      <c r="M87" s="17">
        <f>+IF(Resumen!$C$20="no",H87,0)</f>
        <v>0</v>
      </c>
      <c r="N87" s="17">
        <f t="shared" si="19"/>
        <v>5.8207660913467407E-11</v>
      </c>
      <c r="O87" s="17">
        <f>+IF(AND(Resumen!$C$18="SI",Amortizacion!E87=1),SUM($H$2:J87)*25%,0)</f>
        <v>0</v>
      </c>
      <c r="P87" s="1">
        <f t="shared" si="27"/>
        <v>0</v>
      </c>
      <c r="Q87" s="17">
        <f t="shared" si="28"/>
        <v>0</v>
      </c>
      <c r="R87" s="17">
        <f t="shared" si="20"/>
        <v>0</v>
      </c>
      <c r="S87" s="17">
        <f>(Resumen!$C$10*(Resumen!$C$24)*(1+Incmat)^5)*$C87</f>
        <v>0</v>
      </c>
      <c r="T87" s="21">
        <f t="shared" si="21"/>
        <v>0</v>
      </c>
      <c r="U87" s="17">
        <f t="shared" si="22"/>
        <v>0</v>
      </c>
      <c r="V87" s="17">
        <f t="shared" si="23"/>
        <v>0</v>
      </c>
      <c r="W87" s="17">
        <f t="shared" si="29"/>
        <v>5.8207660913467407E-11</v>
      </c>
      <c r="X87" s="15" t="str">
        <f>+IF(B87="","",Resumen!$C$34)</f>
        <v/>
      </c>
      <c r="Y87" s="16">
        <f t="shared" si="17"/>
        <v>0</v>
      </c>
      <c r="Z87" s="20">
        <f t="shared" si="24"/>
        <v>0</v>
      </c>
      <c r="AA87" s="20">
        <f t="shared" si="25"/>
        <v>0</v>
      </c>
      <c r="AB87" s="20">
        <f>+IF(Resumen!$C$8="no",0,W87*((1+10%)^(0.0833333333333333)-1))</f>
        <v>0</v>
      </c>
    </row>
    <row r="88" spans="1:28" x14ac:dyDescent="0.35">
      <c r="A88">
        <f t="shared" si="26"/>
        <v>87</v>
      </c>
      <c r="B88" t="str">
        <f>+IF(A88&gt;Resumen!$C$40,"",A88)</f>
        <v/>
      </c>
      <c r="C88" s="1">
        <f>+IFERROR(HLOOKUP($B88,Resumen!$F$3:$AM$10,8,0),0)</f>
        <v>0</v>
      </c>
      <c r="D88" s="1">
        <f>+IFERROR(HLOOKUP($B88,Resumen!$F$3:$AM$12,10),0)</f>
        <v>0</v>
      </c>
      <c r="E88" s="1">
        <f>+IF(B88=Resumen!$C$38*6-6,1,0)</f>
        <v>0</v>
      </c>
      <c r="F88" s="1">
        <f>+IFERROR(HLOOKUP($B88,Resumen!$F$3:$AM$14,12),0)</f>
        <v>0</v>
      </c>
      <c r="G88" s="17">
        <f t="shared" si="30"/>
        <v>5.8207660913467407E-11</v>
      </c>
      <c r="H88" s="17">
        <f>IF(X88="",0,IF(F88=0,ROUND(SUM(J$2:J88)*X88,2),0))</f>
        <v>0</v>
      </c>
      <c r="I88" s="17">
        <f t="shared" si="16"/>
        <v>0</v>
      </c>
      <c r="J88" s="17">
        <f>(Resumen!$C$10*(1-Resumen!$C$24)*(1+Incmat)^5)*C88</f>
        <v>0</v>
      </c>
      <c r="K88" s="17">
        <f>+IF(F88=1,PMT(X88,(Resumen!$C$36+Resumen!$C$26+Resumen!$C$14*6-B88+1),-Amortizacion!G88),0)</f>
        <v>0</v>
      </c>
      <c r="L88" s="17">
        <f t="shared" si="18"/>
        <v>0</v>
      </c>
      <c r="M88" s="17">
        <f>+IF(Resumen!$C$20="no",H88,0)</f>
        <v>0</v>
      </c>
      <c r="N88" s="17">
        <f t="shared" si="19"/>
        <v>5.8207660913467407E-11</v>
      </c>
      <c r="O88" s="17">
        <f>+IF(AND(Resumen!$C$18="SI",Amortizacion!E88=1),SUM($H$2:J88)*25%,0)</f>
        <v>0</v>
      </c>
      <c r="P88" s="1">
        <f t="shared" si="27"/>
        <v>0</v>
      </c>
      <c r="Q88" s="17">
        <f t="shared" si="28"/>
        <v>0</v>
      </c>
      <c r="R88" s="17">
        <f t="shared" si="20"/>
        <v>0</v>
      </c>
      <c r="S88" s="17">
        <f>(Resumen!$C$10*(Resumen!$C$24)*(1+Incmat)^5)*$C88</f>
        <v>0</v>
      </c>
      <c r="T88" s="21">
        <f t="shared" si="21"/>
        <v>0</v>
      </c>
      <c r="U88" s="17">
        <f t="shared" si="22"/>
        <v>0</v>
      </c>
      <c r="V88" s="17">
        <f t="shared" si="23"/>
        <v>0</v>
      </c>
      <c r="W88" s="17">
        <f t="shared" si="29"/>
        <v>5.8207660913467407E-11</v>
      </c>
      <c r="X88" s="15" t="str">
        <f>+IF(B88="","",Resumen!$C$34)</f>
        <v/>
      </c>
      <c r="Y88" s="16">
        <f t="shared" si="17"/>
        <v>0</v>
      </c>
      <c r="Z88" s="20">
        <f t="shared" si="24"/>
        <v>0</v>
      </c>
      <c r="AA88" s="20">
        <f t="shared" si="25"/>
        <v>0</v>
      </c>
      <c r="AB88" s="20">
        <f>+IF(Resumen!$C$8="no",0,W88*((1+10%)^(0.0833333333333333)-1))</f>
        <v>0</v>
      </c>
    </row>
    <row r="89" spans="1:28" x14ac:dyDescent="0.35">
      <c r="A89">
        <f t="shared" si="26"/>
        <v>88</v>
      </c>
      <c r="B89" t="str">
        <f>+IF(A89&gt;Resumen!$C$40,"",A89)</f>
        <v/>
      </c>
      <c r="C89" s="1">
        <f>+IFERROR(HLOOKUP($B89,Resumen!$F$3:$AM$10,8,0),0)</f>
        <v>0</v>
      </c>
      <c r="D89" s="1">
        <f>+IFERROR(HLOOKUP($B89,Resumen!$F$3:$AM$12,10),0)</f>
        <v>0</v>
      </c>
      <c r="E89" s="1">
        <f>+IF(B89=Resumen!$C$38*6-6,1,0)</f>
        <v>0</v>
      </c>
      <c r="F89" s="1">
        <f>+IFERROR(HLOOKUP($B89,Resumen!$F$3:$AM$14,12),0)</f>
        <v>0</v>
      </c>
      <c r="G89" s="17">
        <f t="shared" si="30"/>
        <v>5.8207660913467407E-11</v>
      </c>
      <c r="H89" s="17">
        <f>IF(X89="",0,IF(F89=0,ROUND(SUM(J$2:J89)*X89,2),0))</f>
        <v>0</v>
      </c>
      <c r="I89" s="17">
        <f t="shared" si="16"/>
        <v>0</v>
      </c>
      <c r="J89" s="17">
        <f>(Resumen!$C$10*(1-Resumen!$C$24)*(1+Incmat)^5)*C89</f>
        <v>0</v>
      </c>
      <c r="K89" s="17">
        <f>+IF(F89=1,PMT(X89,(Resumen!$C$36+Resumen!$C$26+Resumen!$C$14*6-B89+1),-Amortizacion!G89),0)</f>
        <v>0</v>
      </c>
      <c r="L89" s="17">
        <f t="shared" si="18"/>
        <v>0</v>
      </c>
      <c r="M89" s="17">
        <f>+IF(Resumen!$C$20="no",H89,0)</f>
        <v>0</v>
      </c>
      <c r="N89" s="17">
        <f t="shared" si="19"/>
        <v>5.8207660913467407E-11</v>
      </c>
      <c r="O89" s="17">
        <f>+IF(AND(Resumen!$C$18="SI",Amortizacion!E89=1),SUM($H$2:J89)*25%,0)</f>
        <v>0</v>
      </c>
      <c r="P89" s="1">
        <f t="shared" si="27"/>
        <v>0</v>
      </c>
      <c r="Q89" s="17">
        <f t="shared" si="28"/>
        <v>0</v>
      </c>
      <c r="R89" s="17">
        <f t="shared" si="20"/>
        <v>0</v>
      </c>
      <c r="S89" s="17">
        <f>(Resumen!$C$10*(Resumen!$C$24)*(1+Incmat)^5)*$C89</f>
        <v>0</v>
      </c>
      <c r="T89" s="21">
        <f t="shared" si="21"/>
        <v>0</v>
      </c>
      <c r="U89" s="17">
        <f t="shared" si="22"/>
        <v>0</v>
      </c>
      <c r="V89" s="17">
        <f t="shared" si="23"/>
        <v>0</v>
      </c>
      <c r="W89" s="17">
        <f t="shared" si="29"/>
        <v>5.8207660913467407E-11</v>
      </c>
      <c r="X89" s="15" t="str">
        <f>+IF(B89="","",Resumen!$C$34)</f>
        <v/>
      </c>
      <c r="Y89" s="16">
        <f t="shared" si="17"/>
        <v>0</v>
      </c>
      <c r="Z89" s="20">
        <f t="shared" si="24"/>
        <v>0</v>
      </c>
      <c r="AA89" s="20">
        <f t="shared" si="25"/>
        <v>0</v>
      </c>
      <c r="AB89" s="20">
        <f>+IF(Resumen!$C$8="no",0,W89*((1+10%)^(0.0833333333333333)-1))</f>
        <v>0</v>
      </c>
    </row>
    <row r="90" spans="1:28" x14ac:dyDescent="0.35">
      <c r="A90">
        <f t="shared" si="26"/>
        <v>89</v>
      </c>
      <c r="B90" t="str">
        <f>+IF(A90&gt;Resumen!$C$40,"",A90)</f>
        <v/>
      </c>
      <c r="C90" s="1">
        <f>+IFERROR(HLOOKUP($B90,Resumen!$F$3:$AM$10,8,0),0)</f>
        <v>0</v>
      </c>
      <c r="D90" s="1">
        <f>+IFERROR(HLOOKUP($B90,Resumen!$F$3:$AM$12,10),0)</f>
        <v>0</v>
      </c>
      <c r="E90" s="1">
        <f>+IF(B90=Resumen!$C$38*6-6,1,0)</f>
        <v>0</v>
      </c>
      <c r="F90" s="1">
        <f>+IFERROR(HLOOKUP($B90,Resumen!$F$3:$AM$14,12),0)</f>
        <v>0</v>
      </c>
      <c r="G90" s="17">
        <f t="shared" si="30"/>
        <v>5.8207660913467407E-11</v>
      </c>
      <c r="H90" s="17">
        <f>IF(X90="",0,IF(F90=0,ROUND(SUM(J$2:J90)*X90,2),0))</f>
        <v>0</v>
      </c>
      <c r="I90" s="17">
        <f t="shared" si="16"/>
        <v>0</v>
      </c>
      <c r="J90" s="17">
        <f>(Resumen!$C$10*(1-Resumen!$C$24)*(1+Incmat)^5)*C90</f>
        <v>0</v>
      </c>
      <c r="K90" s="17">
        <f>+IF(F90=1,PMT(X90,(Resumen!$C$36+Resumen!$C$26+Resumen!$C$14*6-B90+1),-Amortizacion!G90),0)</f>
        <v>0</v>
      </c>
      <c r="L90" s="17">
        <f t="shared" si="18"/>
        <v>0</v>
      </c>
      <c r="M90" s="17">
        <f>+IF(Resumen!$C$20="no",H90,0)</f>
        <v>0</v>
      </c>
      <c r="N90" s="17">
        <f t="shared" si="19"/>
        <v>5.8207660913467407E-11</v>
      </c>
      <c r="O90" s="17">
        <f>+IF(AND(Resumen!$C$18="SI",Amortizacion!E90=1),SUM($H$2:J90)*25%,0)</f>
        <v>0</v>
      </c>
      <c r="P90" s="1">
        <f t="shared" si="27"/>
        <v>0</v>
      </c>
      <c r="Q90" s="17">
        <f t="shared" si="28"/>
        <v>0</v>
      </c>
      <c r="R90" s="17">
        <f t="shared" si="20"/>
        <v>0</v>
      </c>
      <c r="S90" s="17">
        <f>(Resumen!$C$10*(Resumen!$C$24)*(1+Incmat)^5)*$C90</f>
        <v>0</v>
      </c>
      <c r="T90" s="21">
        <f t="shared" si="21"/>
        <v>0</v>
      </c>
      <c r="U90" s="17">
        <f t="shared" si="22"/>
        <v>0</v>
      </c>
      <c r="V90" s="17">
        <f t="shared" si="23"/>
        <v>0</v>
      </c>
      <c r="W90" s="17">
        <f t="shared" si="29"/>
        <v>5.8207660913467407E-11</v>
      </c>
      <c r="X90" s="15" t="str">
        <f>+IF(B90="","",Resumen!$C$34)</f>
        <v/>
      </c>
      <c r="Y90" s="16">
        <f t="shared" si="17"/>
        <v>0</v>
      </c>
      <c r="Z90" s="20">
        <f t="shared" si="24"/>
        <v>0</v>
      </c>
      <c r="AA90" s="20">
        <f t="shared" si="25"/>
        <v>0</v>
      </c>
      <c r="AB90" s="20">
        <f>+IF(Resumen!$C$8="no",0,W90*((1+10%)^(0.0833333333333333)-1))</f>
        <v>0</v>
      </c>
    </row>
    <row r="91" spans="1:28" x14ac:dyDescent="0.35">
      <c r="A91">
        <f t="shared" si="26"/>
        <v>90</v>
      </c>
      <c r="B91" t="str">
        <f>+IF(A91&gt;Resumen!$C$40,"",A91)</f>
        <v/>
      </c>
      <c r="C91" s="1">
        <f>+IFERROR(HLOOKUP($B91,Resumen!$F$3:$AM$10,8,0),0)</f>
        <v>0</v>
      </c>
      <c r="D91" s="1">
        <f>+IFERROR(HLOOKUP($B91,Resumen!$F$3:$AM$12,10),0)</f>
        <v>0</v>
      </c>
      <c r="E91" s="1">
        <f>+IF(B91=Resumen!$C$38*6-6,1,0)</f>
        <v>0</v>
      </c>
      <c r="F91" s="1">
        <f>+IFERROR(HLOOKUP($B91,Resumen!$F$3:$AM$14,12),0)</f>
        <v>0</v>
      </c>
      <c r="G91" s="17">
        <f t="shared" si="30"/>
        <v>5.8207660913467407E-11</v>
      </c>
      <c r="H91" s="17">
        <f>IF(X91="",0,IF(F91=0,ROUND(SUM(J$2:J91)*X91,2),0))</f>
        <v>0</v>
      </c>
      <c r="I91" s="17">
        <f t="shared" si="16"/>
        <v>0</v>
      </c>
      <c r="J91" s="17">
        <f>(Resumen!$C$10*(1-Resumen!$C$24)*(1+Incmat)^5)*C91</f>
        <v>0</v>
      </c>
      <c r="K91" s="17">
        <f>+IF(F91=1,PMT(X91,(Resumen!$C$36+Resumen!$C$26+Resumen!$C$14*6-B91+1),-Amortizacion!G91),0)</f>
        <v>0</v>
      </c>
      <c r="L91" s="17">
        <f t="shared" si="18"/>
        <v>0</v>
      </c>
      <c r="M91" s="17">
        <f>+IF(Resumen!$C$20="no",H91,0)</f>
        <v>0</v>
      </c>
      <c r="N91" s="17">
        <f t="shared" si="19"/>
        <v>5.8207660913467407E-11</v>
      </c>
      <c r="O91" s="17">
        <f>+IF(AND(Resumen!$C$18="SI",Amortizacion!E91=1),SUM($H$2:J91)*25%,0)</f>
        <v>0</v>
      </c>
      <c r="P91" s="1">
        <f t="shared" si="27"/>
        <v>0</v>
      </c>
      <c r="Q91" s="17">
        <f t="shared" si="28"/>
        <v>0</v>
      </c>
      <c r="R91" s="17">
        <f t="shared" si="20"/>
        <v>0</v>
      </c>
      <c r="S91" s="17">
        <f>(Resumen!$C$10*(Resumen!$C$24)*(1+Incmat)^5)*$C91</f>
        <v>0</v>
      </c>
      <c r="T91" s="21">
        <f t="shared" si="21"/>
        <v>0</v>
      </c>
      <c r="U91" s="17">
        <f t="shared" si="22"/>
        <v>0</v>
      </c>
      <c r="V91" s="17">
        <f t="shared" si="23"/>
        <v>0</v>
      </c>
      <c r="W91" s="17">
        <f t="shared" si="29"/>
        <v>5.8207660913467407E-11</v>
      </c>
      <c r="X91" s="15" t="str">
        <f>+IF(B91="","",Resumen!$C$34)</f>
        <v/>
      </c>
      <c r="Y91" s="16">
        <f t="shared" si="17"/>
        <v>0</v>
      </c>
      <c r="Z91" s="20">
        <f t="shared" si="24"/>
        <v>0</v>
      </c>
      <c r="AA91" s="20">
        <f t="shared" si="25"/>
        <v>0</v>
      </c>
      <c r="AB91" s="20">
        <f>+IF(Resumen!$C$8="no",0,W91*((1+10%)^(0.0833333333333333)-1))</f>
        <v>0</v>
      </c>
    </row>
    <row r="92" spans="1:28" x14ac:dyDescent="0.35">
      <c r="A92">
        <f t="shared" si="26"/>
        <v>91</v>
      </c>
      <c r="B92" t="str">
        <f>+IF(A92&gt;Resumen!$C$40,"",A92)</f>
        <v/>
      </c>
      <c r="C92" s="1">
        <f>+IFERROR(HLOOKUP($B92,Resumen!$F$3:$AM$10,8,0),0)</f>
        <v>0</v>
      </c>
      <c r="D92" s="1">
        <f>+IFERROR(HLOOKUP($B92,Resumen!$F$3:$AM$12,10),0)</f>
        <v>0</v>
      </c>
      <c r="E92" s="1">
        <f>+IF(B92=Resumen!$C$38*6-6,1,0)</f>
        <v>0</v>
      </c>
      <c r="F92" s="1">
        <f>+IFERROR(HLOOKUP($B92,Resumen!$F$3:$AM$14,12),0)</f>
        <v>0</v>
      </c>
      <c r="G92" s="17">
        <f t="shared" si="30"/>
        <v>5.8207660913467407E-11</v>
      </c>
      <c r="H92" s="17">
        <f>IF(X92="",0,IF(F92=0,ROUND(SUM(J$2:J92)*X92,2),0))</f>
        <v>0</v>
      </c>
      <c r="I92" s="17">
        <f t="shared" si="16"/>
        <v>0</v>
      </c>
      <c r="J92" s="17">
        <f>(Resumen!$C$10*(1-Resumen!$C$24)*(1+Incmat)^5)*C92</f>
        <v>0</v>
      </c>
      <c r="K92" s="17">
        <f>+IF(F92=1,PMT(X92,(Resumen!$C$36+Resumen!$C$26+Resumen!$C$14*6-B92+1),-Amortizacion!G92),0)</f>
        <v>0</v>
      </c>
      <c r="L92" s="17">
        <f t="shared" si="18"/>
        <v>0</v>
      </c>
      <c r="M92" s="17">
        <f>+IF(Resumen!$C$20="no",H92,0)</f>
        <v>0</v>
      </c>
      <c r="N92" s="17">
        <f t="shared" si="19"/>
        <v>5.8207660913467407E-11</v>
      </c>
      <c r="O92" s="17">
        <f>+IF(AND(Resumen!$C$18="SI",Amortizacion!E92=1),SUM($H$2:J92)*25%,0)</f>
        <v>0</v>
      </c>
      <c r="P92" s="1">
        <f t="shared" si="27"/>
        <v>0</v>
      </c>
      <c r="Q92" s="17">
        <f t="shared" si="28"/>
        <v>0</v>
      </c>
      <c r="R92" s="17">
        <f t="shared" si="20"/>
        <v>0</v>
      </c>
      <c r="S92" s="17">
        <f>(Resumen!$C$10*(Resumen!$C$24)*(1+Incmat)^5)*$C92</f>
        <v>0</v>
      </c>
      <c r="T92" s="21">
        <f t="shared" si="21"/>
        <v>0</v>
      </c>
      <c r="U92" s="17">
        <f t="shared" si="22"/>
        <v>0</v>
      </c>
      <c r="V92" s="17">
        <f t="shared" si="23"/>
        <v>0</v>
      </c>
      <c r="W92" s="17">
        <f t="shared" si="29"/>
        <v>5.8207660913467407E-11</v>
      </c>
      <c r="X92" s="15" t="str">
        <f>+IF(B92="","",Resumen!$C$34)</f>
        <v/>
      </c>
      <c r="Y92" s="16">
        <f t="shared" si="17"/>
        <v>0</v>
      </c>
      <c r="Z92" s="20">
        <f t="shared" si="24"/>
        <v>0</v>
      </c>
      <c r="AA92" s="20">
        <f t="shared" si="25"/>
        <v>0</v>
      </c>
      <c r="AB92" s="20">
        <f>+IF(Resumen!$C$8="no",0,W92*((1+10%)^(0.0833333333333333)-1))</f>
        <v>0</v>
      </c>
    </row>
    <row r="93" spans="1:28" x14ac:dyDescent="0.35">
      <c r="A93">
        <f t="shared" si="26"/>
        <v>92</v>
      </c>
      <c r="B93" t="str">
        <f>+IF(A93&gt;Resumen!$C$40,"",A93)</f>
        <v/>
      </c>
      <c r="C93" s="1">
        <f>+IFERROR(HLOOKUP($B93,Resumen!$F$3:$AM$10,8,0),0)</f>
        <v>0</v>
      </c>
      <c r="D93" s="1">
        <f>+IFERROR(HLOOKUP($B93,Resumen!$F$3:$AM$12,10),0)</f>
        <v>0</v>
      </c>
      <c r="E93" s="1">
        <f>+IF(B93=Resumen!$C$38*6-6,1,0)</f>
        <v>0</v>
      </c>
      <c r="F93" s="1">
        <f>+IFERROR(HLOOKUP($B93,Resumen!$F$3:$AM$14,12),0)</f>
        <v>0</v>
      </c>
      <c r="G93" s="17">
        <f t="shared" si="30"/>
        <v>5.8207660913467407E-11</v>
      </c>
      <c r="H93" s="17">
        <f>IF(X93="",0,IF(F93=0,ROUND(SUM(J$2:J93)*X93,2),0))</f>
        <v>0</v>
      </c>
      <c r="I93" s="17">
        <f t="shared" si="16"/>
        <v>0</v>
      </c>
      <c r="J93" s="17">
        <f>(Resumen!$C$10*(1-Resumen!$C$24)*(1+Incmat)^5)*C93</f>
        <v>0</v>
      </c>
      <c r="K93" s="17">
        <f>+IF(F93=1,PMT(X93,(Resumen!$C$36+Resumen!$C$26+Resumen!$C$14*6-B93+1),-Amortizacion!G93),0)</f>
        <v>0</v>
      </c>
      <c r="L93" s="17">
        <f t="shared" si="18"/>
        <v>0</v>
      </c>
      <c r="M93" s="17">
        <f>+IF(Resumen!$C$20="no",H93,0)</f>
        <v>0</v>
      </c>
      <c r="N93" s="17">
        <f t="shared" si="19"/>
        <v>5.8207660913467407E-11</v>
      </c>
      <c r="O93" s="17">
        <f>+IF(AND(Resumen!$C$18="SI",Amortizacion!E93=1),SUM($H$2:J93)*25%,0)</f>
        <v>0</v>
      </c>
      <c r="P93" s="1">
        <f t="shared" si="27"/>
        <v>0</v>
      </c>
      <c r="Q93" s="17">
        <f t="shared" si="28"/>
        <v>0</v>
      </c>
      <c r="R93" s="17">
        <f t="shared" si="20"/>
        <v>0</v>
      </c>
      <c r="S93" s="17">
        <f>(Resumen!$C$10*(Resumen!$C$24)*(1+Incmat)^5)*$C93</f>
        <v>0</v>
      </c>
      <c r="T93" s="21">
        <f t="shared" si="21"/>
        <v>0</v>
      </c>
      <c r="U93" s="17">
        <f t="shared" si="22"/>
        <v>0</v>
      </c>
      <c r="V93" s="17">
        <f t="shared" si="23"/>
        <v>0</v>
      </c>
      <c r="W93" s="17">
        <f t="shared" si="29"/>
        <v>5.8207660913467407E-11</v>
      </c>
      <c r="X93" s="15" t="str">
        <f>+IF(B93="","",Resumen!$C$34)</f>
        <v/>
      </c>
      <c r="Y93" s="16">
        <f t="shared" si="17"/>
        <v>0</v>
      </c>
      <c r="Z93" s="20">
        <f t="shared" si="24"/>
        <v>0</v>
      </c>
      <c r="AA93" s="20">
        <f t="shared" si="25"/>
        <v>0</v>
      </c>
      <c r="AB93" s="20">
        <f>+IF(Resumen!$C$8="no",0,W93*((1+10%)^(0.0833333333333333)-1))</f>
        <v>0</v>
      </c>
    </row>
    <row r="94" spans="1:28" x14ac:dyDescent="0.35">
      <c r="A94">
        <f t="shared" si="26"/>
        <v>93</v>
      </c>
      <c r="B94" t="str">
        <f>+IF(A94&gt;Resumen!$C$40,"",A94)</f>
        <v/>
      </c>
      <c r="C94" s="1">
        <f>+IFERROR(HLOOKUP($B94,Resumen!$F$3:$AM$10,8,0),0)</f>
        <v>0</v>
      </c>
      <c r="D94" s="1">
        <f>+IFERROR(HLOOKUP($B94,Resumen!$F$3:$AM$12,10),0)</f>
        <v>0</v>
      </c>
      <c r="E94" s="1">
        <f>+IF(B94=Resumen!$C$38*6-6,1,0)</f>
        <v>0</v>
      </c>
      <c r="F94" s="1">
        <f>+IFERROR(HLOOKUP($B94,Resumen!$F$3:$AM$14,12),0)</f>
        <v>0</v>
      </c>
      <c r="G94" s="17">
        <f t="shared" si="30"/>
        <v>5.8207660913467407E-11</v>
      </c>
      <c r="H94" s="17">
        <f>IF(X94="",0,IF(F94=0,ROUND(SUM(J$2:J94)*X94,2),0))</f>
        <v>0</v>
      </c>
      <c r="I94" s="17">
        <f t="shared" si="16"/>
        <v>0</v>
      </c>
      <c r="J94" s="17">
        <f>(Resumen!$C$10*(1-Resumen!$C$24)*(1+Incmat)^5)*C94</f>
        <v>0</v>
      </c>
      <c r="K94" s="17">
        <f>+IF(F94=1,PMT(X94,(Resumen!$C$36+Resumen!$C$26+Resumen!$C$14*6-B94+1),-Amortizacion!G94),0)</f>
        <v>0</v>
      </c>
      <c r="L94" s="17">
        <f t="shared" si="18"/>
        <v>0</v>
      </c>
      <c r="M94" s="17">
        <f>+IF(Resumen!$C$20="no",H94,0)</f>
        <v>0</v>
      </c>
      <c r="N94" s="17">
        <f t="shared" si="19"/>
        <v>5.8207660913467407E-11</v>
      </c>
      <c r="O94" s="17">
        <f>+IF(AND(Resumen!$C$18="SI",Amortizacion!E94=1),SUM($H$2:J94)*25%,0)</f>
        <v>0</v>
      </c>
      <c r="P94" s="1">
        <f t="shared" si="27"/>
        <v>0</v>
      </c>
      <c r="Q94" s="17">
        <f t="shared" si="28"/>
        <v>0</v>
      </c>
      <c r="R94" s="17">
        <f t="shared" si="20"/>
        <v>0</v>
      </c>
      <c r="S94" s="17">
        <f>(Resumen!$C$10*(Resumen!$C$24)*(1+Incmat)^5)*$C94</f>
        <v>0</v>
      </c>
      <c r="T94" s="21">
        <f t="shared" si="21"/>
        <v>0</v>
      </c>
      <c r="U94" s="17">
        <f t="shared" si="22"/>
        <v>0</v>
      </c>
      <c r="V94" s="17">
        <f t="shared" si="23"/>
        <v>0</v>
      </c>
      <c r="W94" s="17">
        <f t="shared" si="29"/>
        <v>5.8207660913467407E-11</v>
      </c>
      <c r="X94" s="15" t="str">
        <f>+IF(B94="","",Resumen!$C$34)</f>
        <v/>
      </c>
      <c r="Y94" s="16">
        <f t="shared" si="17"/>
        <v>0</v>
      </c>
      <c r="Z94" s="20">
        <f t="shared" si="24"/>
        <v>0</v>
      </c>
      <c r="AA94" s="20">
        <f t="shared" si="25"/>
        <v>0</v>
      </c>
      <c r="AB94" s="20">
        <f>+IF(Resumen!$C$8="no",0,W94*((1+10%)^(0.0833333333333333)-1))</f>
        <v>0</v>
      </c>
    </row>
    <row r="95" spans="1:28" x14ac:dyDescent="0.35">
      <c r="A95">
        <f t="shared" si="26"/>
        <v>94</v>
      </c>
      <c r="B95" t="str">
        <f>+IF(A95&gt;Resumen!$C$40,"",A95)</f>
        <v/>
      </c>
      <c r="C95" s="1">
        <f>+IFERROR(HLOOKUP($B95,Resumen!$F$3:$AM$10,8,0),0)</f>
        <v>0</v>
      </c>
      <c r="D95" s="1">
        <f>+IFERROR(HLOOKUP($B95,Resumen!$F$3:$AM$12,10),0)</f>
        <v>0</v>
      </c>
      <c r="E95" s="1">
        <f>+IF(B95=Resumen!$C$38*6-6,1,0)</f>
        <v>0</v>
      </c>
      <c r="F95" s="1">
        <f>+IFERROR(HLOOKUP($B95,Resumen!$F$3:$AM$14,12),0)</f>
        <v>0</v>
      </c>
      <c r="G95" s="17">
        <f t="shared" si="30"/>
        <v>5.8207660913467407E-11</v>
      </c>
      <c r="H95" s="17">
        <f>IF(X95="",0,IF(F95=0,ROUND(SUM(J$2:J95)*X95,2),0))</f>
        <v>0</v>
      </c>
      <c r="I95" s="17">
        <f t="shared" si="16"/>
        <v>0</v>
      </c>
      <c r="J95" s="17">
        <f>(Resumen!$C$10*(1-Resumen!$C$24)*(1+Incmat)^5)*C95</f>
        <v>0</v>
      </c>
      <c r="K95" s="17">
        <f>+IF(F95=1,PMT(X95,(Resumen!$C$36+Resumen!$C$26+Resumen!$C$14*6-B95+1),-Amortizacion!G95),0)</f>
        <v>0</v>
      </c>
      <c r="L95" s="17">
        <f t="shared" si="18"/>
        <v>0</v>
      </c>
      <c r="M95" s="17">
        <f>+IF(Resumen!$C$20="no",H95,0)</f>
        <v>0</v>
      </c>
      <c r="N95" s="17">
        <f t="shared" si="19"/>
        <v>5.8207660913467407E-11</v>
      </c>
      <c r="O95" s="17">
        <f>+IF(AND(Resumen!$C$18="SI",Amortizacion!E95=1),SUM($H$2:J95)*25%,0)</f>
        <v>0</v>
      </c>
      <c r="P95" s="1">
        <f t="shared" si="27"/>
        <v>0</v>
      </c>
      <c r="Q95" s="17">
        <f t="shared" si="28"/>
        <v>0</v>
      </c>
      <c r="R95" s="17">
        <f t="shared" si="20"/>
        <v>0</v>
      </c>
      <c r="S95" s="17">
        <f>(Resumen!$C$10*(Resumen!$C$24)*(1+Incmat)^5)*$C95</f>
        <v>0</v>
      </c>
      <c r="T95" s="21">
        <f t="shared" si="21"/>
        <v>0</v>
      </c>
      <c r="U95" s="17">
        <f t="shared" si="22"/>
        <v>0</v>
      </c>
      <c r="V95" s="17">
        <f t="shared" si="23"/>
        <v>0</v>
      </c>
      <c r="W95" s="17">
        <f t="shared" si="29"/>
        <v>5.8207660913467407E-11</v>
      </c>
      <c r="X95" s="15" t="str">
        <f>+IF(B95="","",Resumen!$C$34)</f>
        <v/>
      </c>
      <c r="Y95" s="16">
        <f t="shared" si="17"/>
        <v>0</v>
      </c>
      <c r="Z95" s="20">
        <f t="shared" si="24"/>
        <v>0</v>
      </c>
      <c r="AA95" s="20">
        <f t="shared" si="25"/>
        <v>0</v>
      </c>
      <c r="AB95" s="20">
        <f>+IF(Resumen!$C$8="no",0,W95*((1+10%)^(0.0833333333333333)-1))</f>
        <v>0</v>
      </c>
    </row>
    <row r="96" spans="1:28" x14ac:dyDescent="0.35">
      <c r="A96">
        <f t="shared" si="26"/>
        <v>95</v>
      </c>
      <c r="B96" t="str">
        <f>+IF(A96&gt;Resumen!$C$40,"",A96)</f>
        <v/>
      </c>
      <c r="C96" s="1">
        <f>+IFERROR(HLOOKUP($B96,Resumen!$F$3:$AM$10,8,0),0)</f>
        <v>0</v>
      </c>
      <c r="D96" s="1">
        <f>+IFERROR(HLOOKUP($B96,Resumen!$F$3:$AM$12,10),0)</f>
        <v>0</v>
      </c>
      <c r="E96" s="1">
        <f>+IF(B96=Resumen!$C$38*6-6,1,0)</f>
        <v>0</v>
      </c>
      <c r="F96" s="1">
        <f>+IFERROR(HLOOKUP($B96,Resumen!$F$3:$AM$14,12),0)</f>
        <v>0</v>
      </c>
      <c r="G96" s="17">
        <f t="shared" si="30"/>
        <v>5.8207660913467407E-11</v>
      </c>
      <c r="H96" s="17">
        <f>IF(X96="",0,IF(F96=0,ROUND(SUM(J$2:J96)*X96,2),0))</f>
        <v>0</v>
      </c>
      <c r="I96" s="17">
        <f t="shared" si="16"/>
        <v>0</v>
      </c>
      <c r="J96" s="17">
        <f>(Resumen!$C$10*(1-Resumen!$C$24)*(1+Incmat)^5)*C96</f>
        <v>0</v>
      </c>
      <c r="K96" s="17">
        <f>+IF(F96=1,PMT(X96,(Resumen!$C$36+Resumen!$C$26+Resumen!$C$14*6-B96+1),-Amortizacion!G96),0)</f>
        <v>0</v>
      </c>
      <c r="L96" s="17">
        <f t="shared" si="18"/>
        <v>0</v>
      </c>
      <c r="M96" s="17">
        <f>+IF(Resumen!$C$20="no",H96,0)</f>
        <v>0</v>
      </c>
      <c r="N96" s="17">
        <f t="shared" si="19"/>
        <v>5.8207660913467407E-11</v>
      </c>
      <c r="O96" s="17">
        <f>+IF(AND(Resumen!$C$18="SI",Amortizacion!E96=1),SUM($H$2:J96)*25%,0)</f>
        <v>0</v>
      </c>
      <c r="P96" s="1">
        <f t="shared" si="27"/>
        <v>0</v>
      </c>
      <c r="Q96" s="17">
        <f t="shared" si="28"/>
        <v>0</v>
      </c>
      <c r="R96" s="17">
        <f t="shared" si="20"/>
        <v>0</v>
      </c>
      <c r="S96" s="17">
        <f>(Resumen!$C$10*(Resumen!$C$24)*(1+Incmat)^5)*$C96</f>
        <v>0</v>
      </c>
      <c r="T96" s="21">
        <f t="shared" si="21"/>
        <v>0</v>
      </c>
      <c r="U96" s="17">
        <f t="shared" si="22"/>
        <v>0</v>
      </c>
      <c r="V96" s="17">
        <f t="shared" si="23"/>
        <v>0</v>
      </c>
      <c r="W96" s="17">
        <f t="shared" si="29"/>
        <v>5.8207660913467407E-11</v>
      </c>
      <c r="X96" s="15" t="str">
        <f>+IF(B96="","",Resumen!$C$34)</f>
        <v/>
      </c>
      <c r="Y96" s="16">
        <f t="shared" si="17"/>
        <v>0</v>
      </c>
      <c r="Z96" s="20">
        <f t="shared" si="24"/>
        <v>0</v>
      </c>
      <c r="AA96" s="20">
        <f t="shared" si="25"/>
        <v>0</v>
      </c>
      <c r="AB96" s="20">
        <f>+IF(Resumen!$C$8="no",0,W96*((1+10%)^(0.0833333333333333)-1))</f>
        <v>0</v>
      </c>
    </row>
    <row r="97" spans="1:28" x14ac:dyDescent="0.35">
      <c r="A97">
        <f t="shared" si="26"/>
        <v>96</v>
      </c>
      <c r="B97" t="str">
        <f>+IF(A97&gt;Resumen!$C$40,"",A97)</f>
        <v/>
      </c>
      <c r="C97" s="1">
        <f>+IFERROR(HLOOKUP($B97,Resumen!$F$3:$AM$10,8,0),0)</f>
        <v>0</v>
      </c>
      <c r="D97" s="1">
        <f>+IFERROR(HLOOKUP($B97,Resumen!$F$3:$AM$12,10),0)</f>
        <v>0</v>
      </c>
      <c r="E97" s="1">
        <f>+IF(B97=Resumen!$C$38*6-6,1,0)</f>
        <v>0</v>
      </c>
      <c r="F97" s="1">
        <f>+IFERROR(HLOOKUP($B97,Resumen!$F$3:$AM$14,12),0)</f>
        <v>0</v>
      </c>
      <c r="G97" s="17">
        <f t="shared" si="30"/>
        <v>5.8207660913467407E-11</v>
      </c>
      <c r="H97" s="17">
        <f>IF(X97="",0,IF(F97=0,ROUND(SUM(J$2:J97)*X97,2),0))</f>
        <v>0</v>
      </c>
      <c r="I97" s="17">
        <f t="shared" si="16"/>
        <v>0</v>
      </c>
      <c r="J97" s="17">
        <f>(Resumen!$C$10*(1-Resumen!$C$24)*(1+Incmat)^5)*C97</f>
        <v>0</v>
      </c>
      <c r="K97" s="17">
        <f>+IF(F97=1,PMT(X97,(Resumen!$C$36+Resumen!$C$26+Resumen!$C$14*6-B97+1),-Amortizacion!G97),0)</f>
        <v>0</v>
      </c>
      <c r="L97" s="17">
        <f t="shared" si="18"/>
        <v>0</v>
      </c>
      <c r="M97" s="17">
        <f>+IF(Resumen!$C$20="no",H97,0)</f>
        <v>0</v>
      </c>
      <c r="N97" s="17">
        <f t="shared" si="19"/>
        <v>5.8207660913467407E-11</v>
      </c>
      <c r="O97" s="17">
        <f>+IF(AND(Resumen!$C$18="SI",Amortizacion!E97=1),SUM($H$2:J97)*25%,0)</f>
        <v>0</v>
      </c>
      <c r="P97" s="1">
        <f t="shared" si="27"/>
        <v>0</v>
      </c>
      <c r="Q97" s="17">
        <f t="shared" si="28"/>
        <v>0</v>
      </c>
      <c r="R97" s="17">
        <f t="shared" si="20"/>
        <v>0</v>
      </c>
      <c r="S97" s="17">
        <f>(Resumen!$C$10*(Resumen!$C$24)*(1+Incmat)^5)*$C97</f>
        <v>0</v>
      </c>
      <c r="T97" s="21">
        <f t="shared" si="21"/>
        <v>0</v>
      </c>
      <c r="U97" s="17">
        <f t="shared" si="22"/>
        <v>0</v>
      </c>
      <c r="V97" s="17">
        <f t="shared" si="23"/>
        <v>0</v>
      </c>
      <c r="W97" s="17">
        <f t="shared" si="29"/>
        <v>5.8207660913467407E-11</v>
      </c>
      <c r="X97" s="15" t="str">
        <f>+IF(B97="","",Resumen!$C$34)</f>
        <v/>
      </c>
      <c r="Y97" s="16">
        <f t="shared" si="17"/>
        <v>0</v>
      </c>
      <c r="Z97" s="20">
        <f t="shared" si="24"/>
        <v>0</v>
      </c>
      <c r="AA97" s="20">
        <f t="shared" si="25"/>
        <v>0</v>
      </c>
      <c r="AB97" s="20">
        <f>+IF(Resumen!$C$8="no",0,W97*((1+10%)^(0.0833333333333333)-1))</f>
        <v>0</v>
      </c>
    </row>
    <row r="98" spans="1:28" x14ac:dyDescent="0.35">
      <c r="A98">
        <f t="shared" si="26"/>
        <v>97</v>
      </c>
      <c r="B98" t="str">
        <f>+IF(A98&gt;Resumen!$C$40,"",A98)</f>
        <v/>
      </c>
      <c r="C98" s="1">
        <f>+IFERROR(HLOOKUP($B98,Resumen!$F$3:$AM$10,8,0),0)</f>
        <v>0</v>
      </c>
      <c r="D98" s="1">
        <f>+IFERROR(HLOOKUP($B98,Resumen!$F$3:$AM$12,10),0)</f>
        <v>0</v>
      </c>
      <c r="E98" s="1">
        <f>+IF(B98=Resumen!$C$38*6-6,1,0)</f>
        <v>0</v>
      </c>
      <c r="F98" s="1">
        <f>+IFERROR(HLOOKUP($B98,Resumen!$F$3:$AM$14,12),0)</f>
        <v>0</v>
      </c>
      <c r="G98" s="17">
        <f t="shared" si="30"/>
        <v>5.8207660913467407E-11</v>
      </c>
      <c r="H98" s="17">
        <f>IF(X98="",0,IF(F98=0,ROUND(SUM(J$2:J98)*X98,2),0))</f>
        <v>0</v>
      </c>
      <c r="I98" s="17">
        <f t="shared" si="16"/>
        <v>0</v>
      </c>
      <c r="J98" s="17">
        <f>(Resumen!$C$10*(1-Resumen!$C$24)*(1+Incmat)^5)*C98</f>
        <v>0</v>
      </c>
      <c r="K98" s="17">
        <f>+IF(F98=1,PMT(X98,(Resumen!$C$36+Resumen!$C$26+Resumen!$C$14*6-B98+1),-Amortizacion!G98),0)</f>
        <v>0</v>
      </c>
      <c r="L98" s="17">
        <f t="shared" si="18"/>
        <v>0</v>
      </c>
      <c r="M98" s="17">
        <f>+IF(Resumen!$C$20="no",H98,0)</f>
        <v>0</v>
      </c>
      <c r="N98" s="17">
        <f t="shared" si="19"/>
        <v>5.8207660913467407E-11</v>
      </c>
      <c r="O98" s="17">
        <f>+IF(AND(Resumen!$C$18="SI",Amortizacion!E98=1),SUM($H$2:J98)*25%,0)</f>
        <v>0</v>
      </c>
      <c r="P98" s="1">
        <f t="shared" si="27"/>
        <v>0</v>
      </c>
      <c r="Q98" s="17">
        <f t="shared" si="28"/>
        <v>0</v>
      </c>
      <c r="R98" s="17">
        <f t="shared" si="20"/>
        <v>0</v>
      </c>
      <c r="S98" s="17">
        <f>(Resumen!$C$10*(Resumen!$C$24)*(1+Incmat)^5)*$C98</f>
        <v>0</v>
      </c>
      <c r="T98" s="21">
        <f t="shared" si="21"/>
        <v>0</v>
      </c>
      <c r="U98" s="17">
        <f t="shared" si="22"/>
        <v>0</v>
      </c>
      <c r="V98" s="17">
        <f t="shared" si="23"/>
        <v>0</v>
      </c>
      <c r="W98" s="17">
        <f t="shared" si="29"/>
        <v>5.8207660913467407E-11</v>
      </c>
      <c r="X98" s="15" t="str">
        <f>+IF(B98="","",Resumen!$C$34)</f>
        <v/>
      </c>
      <c r="Y98" s="16">
        <f t="shared" si="17"/>
        <v>0</v>
      </c>
      <c r="Z98" s="20">
        <f t="shared" si="24"/>
        <v>0</v>
      </c>
      <c r="AA98" s="20">
        <f t="shared" si="25"/>
        <v>0</v>
      </c>
      <c r="AB98" s="20">
        <f>+IF(Resumen!$C$8="no",0,W98*((1+10%)^(0.0833333333333333)-1))</f>
        <v>0</v>
      </c>
    </row>
    <row r="99" spans="1:28" x14ac:dyDescent="0.35">
      <c r="A99">
        <f t="shared" si="26"/>
        <v>98</v>
      </c>
      <c r="B99" t="str">
        <f>+IF(A99&gt;Resumen!$C$40,"",A99)</f>
        <v/>
      </c>
      <c r="C99" s="1">
        <f>+IFERROR(HLOOKUP($B99,Resumen!$F$3:$AM$10,8,0),0)</f>
        <v>0</v>
      </c>
      <c r="D99" s="1">
        <f>+IFERROR(HLOOKUP($B99,Resumen!$F$3:$AM$12,10),0)</f>
        <v>0</v>
      </c>
      <c r="E99" s="1">
        <f>+IF(B99=Resumen!$C$38*6-6,1,0)</f>
        <v>0</v>
      </c>
      <c r="F99" s="1">
        <f>+IFERROR(HLOOKUP($B99,Resumen!$F$3:$AM$14,12),0)</f>
        <v>0</v>
      </c>
      <c r="G99" s="17">
        <f t="shared" si="30"/>
        <v>5.8207660913467407E-11</v>
      </c>
      <c r="H99" s="17">
        <f>IF(X99="",0,IF(F99=0,ROUND(SUM(J$2:J99)*X99,2),0))</f>
        <v>0</v>
      </c>
      <c r="I99" s="17">
        <f t="shared" si="16"/>
        <v>0</v>
      </c>
      <c r="J99" s="17">
        <f>(Resumen!$C$10*(1-Resumen!$C$24)*(1+Incmat)^5)*C99</f>
        <v>0</v>
      </c>
      <c r="K99" s="17">
        <f>+IF(F99=1,PMT(X99,(Resumen!$C$36+Resumen!$C$26+Resumen!$C$14*6-B99+1),-Amortizacion!G99),0)</f>
        <v>0</v>
      </c>
      <c r="L99" s="17">
        <f t="shared" si="18"/>
        <v>0</v>
      </c>
      <c r="M99" s="17">
        <f>+IF(Resumen!$C$20="no",H99,0)</f>
        <v>0</v>
      </c>
      <c r="N99" s="17">
        <f t="shared" si="19"/>
        <v>5.8207660913467407E-11</v>
      </c>
      <c r="O99" s="17">
        <f>+IF(AND(Resumen!$C$18="SI",Amortizacion!E99=1),SUM($H$2:J99)*25%,0)</f>
        <v>0</v>
      </c>
      <c r="P99" s="1">
        <f t="shared" si="27"/>
        <v>0</v>
      </c>
      <c r="Q99" s="17">
        <f t="shared" si="28"/>
        <v>0</v>
      </c>
      <c r="R99" s="17">
        <f t="shared" si="20"/>
        <v>0</v>
      </c>
      <c r="S99" s="17">
        <f>(Resumen!$C$10*(Resumen!$C$24)*(1+Incmat)^5)*$C99</f>
        <v>0</v>
      </c>
      <c r="T99" s="21">
        <f t="shared" si="21"/>
        <v>0</v>
      </c>
      <c r="U99" s="17">
        <f t="shared" si="22"/>
        <v>0</v>
      </c>
      <c r="V99" s="17">
        <f t="shared" si="23"/>
        <v>0</v>
      </c>
      <c r="W99" s="17">
        <f t="shared" si="29"/>
        <v>5.8207660913467407E-11</v>
      </c>
      <c r="X99" s="15" t="str">
        <f>+IF(B99="","",Resumen!$C$34)</f>
        <v/>
      </c>
      <c r="Y99" s="16">
        <f t="shared" si="17"/>
        <v>0</v>
      </c>
      <c r="Z99" s="20">
        <f t="shared" si="24"/>
        <v>0</v>
      </c>
      <c r="AA99" s="20">
        <f t="shared" si="25"/>
        <v>0</v>
      </c>
      <c r="AB99" s="20">
        <f>+IF(Resumen!$C$8="no",0,W99*((1+10%)^(0.0833333333333333)-1))</f>
        <v>0</v>
      </c>
    </row>
    <row r="100" spans="1:28" x14ac:dyDescent="0.35">
      <c r="A100">
        <f t="shared" si="26"/>
        <v>99</v>
      </c>
      <c r="B100" t="str">
        <f>+IF(A100&gt;Resumen!$C$40,"",A100)</f>
        <v/>
      </c>
      <c r="C100" s="1">
        <f>+IFERROR(HLOOKUP($B100,Resumen!$F$3:$AM$10,8,0),0)</f>
        <v>0</v>
      </c>
      <c r="D100" s="1">
        <f>+IFERROR(HLOOKUP($B100,Resumen!$F$3:$AM$12,10),0)</f>
        <v>0</v>
      </c>
      <c r="E100" s="1">
        <f>+IF(B100=Resumen!$C$38*6-6,1,0)</f>
        <v>0</v>
      </c>
      <c r="F100" s="1">
        <f>+IFERROR(HLOOKUP($B100,Resumen!$F$3:$AM$14,12),0)</f>
        <v>0</v>
      </c>
      <c r="G100" s="17">
        <f t="shared" si="30"/>
        <v>5.8207660913467407E-11</v>
      </c>
      <c r="H100" s="17">
        <f>IF(X100="",0,IF(F100=0,ROUND(SUM(J$2:J100)*X100,2),0))</f>
        <v>0</v>
      </c>
      <c r="I100" s="17">
        <f t="shared" si="16"/>
        <v>0</v>
      </c>
      <c r="J100" s="17">
        <f>(Resumen!$C$10*(1-Resumen!$C$24)*(1+Incmat)^5)*C100</f>
        <v>0</v>
      </c>
      <c r="K100" s="17">
        <f>+IF(F100=1,PMT(X100,(Resumen!$C$36+Resumen!$C$26+Resumen!$C$14*6-B100+1),-Amortizacion!G100),0)</f>
        <v>0</v>
      </c>
      <c r="L100" s="17">
        <f t="shared" si="18"/>
        <v>0</v>
      </c>
      <c r="M100" s="17">
        <f>+IF(Resumen!$C$20="no",H100,0)</f>
        <v>0</v>
      </c>
      <c r="N100" s="17">
        <f t="shared" si="19"/>
        <v>5.8207660913467407E-11</v>
      </c>
      <c r="O100" s="17">
        <f>+IF(AND(Resumen!$C$18="SI",Amortizacion!E100=1),SUM($H$2:J100)*25%,0)</f>
        <v>0</v>
      </c>
      <c r="P100" s="1">
        <f t="shared" si="27"/>
        <v>0</v>
      </c>
      <c r="Q100" s="17">
        <f t="shared" si="28"/>
        <v>0</v>
      </c>
      <c r="R100" s="17">
        <f t="shared" si="20"/>
        <v>0</v>
      </c>
      <c r="S100" s="17">
        <f>(Resumen!$C$10*(Resumen!$C$24)*(1+Incmat)^5)*$C100</f>
        <v>0</v>
      </c>
      <c r="T100" s="21">
        <f t="shared" si="21"/>
        <v>0</v>
      </c>
      <c r="U100" s="17">
        <f t="shared" si="22"/>
        <v>0</v>
      </c>
      <c r="V100" s="17">
        <f t="shared" si="23"/>
        <v>0</v>
      </c>
      <c r="W100" s="17">
        <f t="shared" si="29"/>
        <v>5.8207660913467407E-11</v>
      </c>
      <c r="X100" s="15" t="str">
        <f>+IF(B100="","",Resumen!$C$34)</f>
        <v/>
      </c>
      <c r="Y100" s="16">
        <f t="shared" si="17"/>
        <v>0</v>
      </c>
      <c r="Z100" s="20">
        <f t="shared" si="24"/>
        <v>0</v>
      </c>
      <c r="AA100" s="20">
        <f t="shared" si="25"/>
        <v>0</v>
      </c>
      <c r="AB100" s="20">
        <f>+IF(Resumen!$C$8="no",0,W100*((1+10%)^(0.0833333333333333)-1))</f>
        <v>0</v>
      </c>
    </row>
    <row r="101" spans="1:28" x14ac:dyDescent="0.35">
      <c r="A101">
        <f t="shared" si="26"/>
        <v>100</v>
      </c>
      <c r="B101" t="str">
        <f>+IF(A101&gt;Resumen!$C$40,"",A101)</f>
        <v/>
      </c>
      <c r="C101" s="1">
        <f>+IFERROR(HLOOKUP($B101,Resumen!$F$3:$AM$10,8,0),0)</f>
        <v>0</v>
      </c>
      <c r="D101" s="1">
        <f>+IFERROR(HLOOKUP($B101,Resumen!$F$3:$AM$12,10),0)</f>
        <v>0</v>
      </c>
      <c r="E101" s="1">
        <f>+IF(B101=Resumen!$C$38*6-6,1,0)</f>
        <v>0</v>
      </c>
      <c r="F101" s="1">
        <f>+IFERROR(HLOOKUP($B101,Resumen!$F$3:$AM$14,12),0)</f>
        <v>0</v>
      </c>
      <c r="G101" s="17">
        <f t="shared" si="30"/>
        <v>5.8207660913467407E-11</v>
      </c>
      <c r="H101" s="17">
        <f>IF(X101="",0,IF(F101=0,ROUND(SUM(J$2:J101)*X101,2),0))</f>
        <v>0</v>
      </c>
      <c r="I101" s="17">
        <f t="shared" si="16"/>
        <v>0</v>
      </c>
      <c r="J101" s="17">
        <f>(Resumen!$C$10*(1-Resumen!$C$24)*(1+Incmat)^5)*C101</f>
        <v>0</v>
      </c>
      <c r="K101" s="17">
        <f>+IF(F101=1,PMT(X101,(Resumen!$C$36+Resumen!$C$26+Resumen!$C$14*6-B101+1),-Amortizacion!G101),0)</f>
        <v>0</v>
      </c>
      <c r="L101" s="17">
        <f t="shared" si="18"/>
        <v>0</v>
      </c>
      <c r="M101" s="17">
        <f>+IF(Resumen!$C$20="no",H101,0)</f>
        <v>0</v>
      </c>
      <c r="N101" s="17">
        <f t="shared" si="19"/>
        <v>5.8207660913467407E-11</v>
      </c>
      <c r="O101" s="17">
        <f>+IF(AND(Resumen!$C$18="SI",Amortizacion!E101=1),SUM($H$2:J101)*25%,0)</f>
        <v>0</v>
      </c>
      <c r="P101" s="1">
        <f t="shared" si="27"/>
        <v>0</v>
      </c>
      <c r="Q101" s="17">
        <f t="shared" si="28"/>
        <v>0</v>
      </c>
      <c r="R101" s="17">
        <f t="shared" si="20"/>
        <v>0</v>
      </c>
      <c r="S101" s="17">
        <f>(Resumen!$C$10*(Resumen!$C$24)*(1+Incmat)^5)*$C101</f>
        <v>0</v>
      </c>
      <c r="T101" s="21">
        <f t="shared" si="21"/>
        <v>0</v>
      </c>
      <c r="U101" s="17">
        <f t="shared" si="22"/>
        <v>0</v>
      </c>
      <c r="V101" s="17">
        <f t="shared" si="23"/>
        <v>0</v>
      </c>
      <c r="W101" s="17">
        <f t="shared" si="29"/>
        <v>5.8207660913467407E-11</v>
      </c>
      <c r="X101" s="15" t="str">
        <f>+IF(B101="","",Resumen!$C$34)</f>
        <v/>
      </c>
      <c r="Y101" s="16">
        <f t="shared" si="17"/>
        <v>0</v>
      </c>
      <c r="Z101" s="20">
        <f t="shared" si="24"/>
        <v>0</v>
      </c>
      <c r="AA101" s="20">
        <f t="shared" si="25"/>
        <v>0</v>
      </c>
      <c r="AB101" s="20">
        <f>+IF(Resumen!$C$8="no",0,W101*((1+10%)^(0.0833333333333333)-1))</f>
        <v>0</v>
      </c>
    </row>
    <row r="102" spans="1:28" x14ac:dyDescent="0.35">
      <c r="A102">
        <f t="shared" si="26"/>
        <v>101</v>
      </c>
      <c r="B102" t="str">
        <f>+IF(A102&gt;Resumen!$C$40,"",A102)</f>
        <v/>
      </c>
      <c r="C102" s="1">
        <f>+IFERROR(HLOOKUP($B102,Resumen!$F$3:$AM$10,8,0),0)</f>
        <v>0</v>
      </c>
      <c r="D102" s="1">
        <f>+IFERROR(HLOOKUP($B102,Resumen!$F$3:$AM$12,10),0)</f>
        <v>0</v>
      </c>
      <c r="E102" s="1">
        <f>+IF(B102=Resumen!$C$38*6-6,1,0)</f>
        <v>0</v>
      </c>
      <c r="F102" s="1">
        <f>+IFERROR(HLOOKUP($B102,Resumen!$F$3:$AM$14,12),0)</f>
        <v>0</v>
      </c>
      <c r="G102" s="17">
        <f t="shared" si="30"/>
        <v>5.8207660913467407E-11</v>
      </c>
      <c r="H102" s="17">
        <f>IF(X102="",0,IF(F102=0,ROUND(SUM(J$2:J102)*X102,2),0))</f>
        <v>0</v>
      </c>
      <c r="I102" s="17">
        <f t="shared" si="16"/>
        <v>0</v>
      </c>
      <c r="J102" s="17">
        <f>(Resumen!$C$10*(1-Resumen!$C$24)*(1+Incmat)^5)*C102</f>
        <v>0</v>
      </c>
      <c r="K102" s="17">
        <f>+IF(F102=1,PMT(X102,(Resumen!$C$36+Resumen!$C$26+Resumen!$C$14*6-B102+1),-Amortizacion!G102),0)</f>
        <v>0</v>
      </c>
      <c r="L102" s="17">
        <f t="shared" si="18"/>
        <v>0</v>
      </c>
      <c r="M102" s="17">
        <f>+IF(Resumen!$C$20="no",H102,0)</f>
        <v>0</v>
      </c>
      <c r="N102" s="17">
        <f t="shared" si="19"/>
        <v>5.8207660913467407E-11</v>
      </c>
      <c r="O102" s="17">
        <f>+IF(AND(Resumen!$C$18="SI",Amortizacion!E102=1),SUM($H$2:J102)*25%,0)</f>
        <v>0</v>
      </c>
      <c r="P102" s="1">
        <f t="shared" si="27"/>
        <v>0</v>
      </c>
      <c r="Q102" s="17">
        <f t="shared" si="28"/>
        <v>0</v>
      </c>
      <c r="R102" s="17">
        <f t="shared" si="20"/>
        <v>0</v>
      </c>
      <c r="S102" s="17">
        <f>(Resumen!$C$10*(Resumen!$C$24)*(1+Incmat)^5)*$C102</f>
        <v>0</v>
      </c>
      <c r="T102" s="21">
        <f t="shared" si="21"/>
        <v>0</v>
      </c>
      <c r="U102" s="17">
        <f t="shared" si="22"/>
        <v>0</v>
      </c>
      <c r="V102" s="17">
        <f t="shared" si="23"/>
        <v>0</v>
      </c>
      <c r="W102" s="17">
        <f t="shared" si="29"/>
        <v>5.8207660913467407E-11</v>
      </c>
      <c r="X102" s="15" t="str">
        <f>+IF(B102="","",Resumen!$C$34)</f>
        <v/>
      </c>
      <c r="Y102" s="16">
        <f t="shared" si="17"/>
        <v>0</v>
      </c>
      <c r="Z102" s="20">
        <f t="shared" si="24"/>
        <v>0</v>
      </c>
      <c r="AA102" s="20">
        <f t="shared" si="25"/>
        <v>0</v>
      </c>
      <c r="AB102" s="20">
        <f>+IF(Resumen!$C$8="no",0,W102*((1+10%)^(0.0833333333333333)-1))</f>
        <v>0</v>
      </c>
    </row>
    <row r="103" spans="1:28" x14ac:dyDescent="0.35">
      <c r="A103">
        <f t="shared" si="26"/>
        <v>102</v>
      </c>
      <c r="B103" t="str">
        <f>+IF(A103&gt;Resumen!$C$40,"",A103)</f>
        <v/>
      </c>
      <c r="C103" s="1">
        <f>+IFERROR(HLOOKUP($B103,Resumen!$F$3:$AM$10,8,0),0)</f>
        <v>0</v>
      </c>
      <c r="D103" s="1">
        <f>+IFERROR(HLOOKUP($B103,Resumen!$F$3:$AM$12,10),0)</f>
        <v>0</v>
      </c>
      <c r="E103" s="1">
        <f>+IF(B103=Resumen!$C$38*6-6,1,0)</f>
        <v>0</v>
      </c>
      <c r="F103" s="1">
        <f>+IFERROR(HLOOKUP($B103,Resumen!$F$3:$AM$14,12),0)</f>
        <v>0</v>
      </c>
      <c r="G103" s="17">
        <f t="shared" si="30"/>
        <v>5.8207660913467407E-11</v>
      </c>
      <c r="H103" s="17">
        <f>IF(X103="",0,IF(F103=0,ROUND(SUM(J$2:J103)*X103,2),0))</f>
        <v>0</v>
      </c>
      <c r="I103" s="17">
        <f t="shared" si="16"/>
        <v>0</v>
      </c>
      <c r="J103" s="17">
        <f>(Resumen!$C$10*(1-Resumen!$C$24)*(1+Incmat)^5)*C103</f>
        <v>0</v>
      </c>
      <c r="K103" s="17">
        <f>+IF(F103=1,PMT(X103,(Resumen!$C$36+Resumen!$C$26+Resumen!$C$14*6-B103+1),-Amortizacion!G103),0)</f>
        <v>0</v>
      </c>
      <c r="L103" s="17">
        <f t="shared" si="18"/>
        <v>0</v>
      </c>
      <c r="M103" s="17">
        <f>+IF(Resumen!$C$20="no",H103,0)</f>
        <v>0</v>
      </c>
      <c r="N103" s="17">
        <f t="shared" si="19"/>
        <v>5.8207660913467407E-11</v>
      </c>
      <c r="O103" s="17">
        <f>+IF(AND(Resumen!$C$18="SI",Amortizacion!E103=1),SUM($H$2:J103)*25%,0)</f>
        <v>0</v>
      </c>
      <c r="P103" s="1">
        <f t="shared" si="27"/>
        <v>0</v>
      </c>
      <c r="Q103" s="17">
        <f t="shared" si="28"/>
        <v>0</v>
      </c>
      <c r="R103" s="17">
        <f t="shared" si="20"/>
        <v>0</v>
      </c>
      <c r="S103" s="17">
        <f>(Resumen!$C$10*(Resumen!$C$24)*(1+Incmat)^5)*$C103</f>
        <v>0</v>
      </c>
      <c r="T103" s="21">
        <f t="shared" si="21"/>
        <v>0</v>
      </c>
      <c r="U103" s="17">
        <f t="shared" si="22"/>
        <v>0</v>
      </c>
      <c r="V103" s="17">
        <f t="shared" si="23"/>
        <v>0</v>
      </c>
      <c r="W103" s="17">
        <f t="shared" si="29"/>
        <v>5.8207660913467407E-11</v>
      </c>
      <c r="X103" s="15" t="str">
        <f>+IF(B103="","",Resumen!$C$34)</f>
        <v/>
      </c>
      <c r="Y103" s="16">
        <f t="shared" si="17"/>
        <v>0</v>
      </c>
      <c r="Z103" s="20">
        <f t="shared" si="24"/>
        <v>0</v>
      </c>
      <c r="AA103" s="20">
        <f t="shared" si="25"/>
        <v>0</v>
      </c>
      <c r="AB103" s="20">
        <f>+IF(Resumen!$C$8="no",0,W103*((1+10%)^(0.0833333333333333)-1))</f>
        <v>0</v>
      </c>
    </row>
    <row r="104" spans="1:28" x14ac:dyDescent="0.35">
      <c r="A104">
        <f t="shared" si="26"/>
        <v>103</v>
      </c>
      <c r="B104" t="str">
        <f>+IF(A104&gt;Resumen!$C$40,"",A104)</f>
        <v/>
      </c>
      <c r="C104" s="1">
        <f>+IFERROR(HLOOKUP($B104,Resumen!$F$3:$AM$10,8,0),0)</f>
        <v>0</v>
      </c>
      <c r="D104" s="1">
        <f>+IFERROR(HLOOKUP($B104,Resumen!$F$3:$AM$12,10),0)</f>
        <v>0</v>
      </c>
      <c r="E104" s="1">
        <f>+IF(B104=Resumen!$C$38*6-6,1,0)</f>
        <v>0</v>
      </c>
      <c r="F104" s="1">
        <f>+IFERROR(HLOOKUP($B104,Resumen!$F$3:$AM$14,12),0)</f>
        <v>0</v>
      </c>
      <c r="G104" s="17">
        <f t="shared" si="30"/>
        <v>5.8207660913467407E-11</v>
      </c>
      <c r="H104" s="17">
        <f>IF(X104="",0,IF(F104=0,ROUND(SUM(J$2:J104)*X104,2),0))</f>
        <v>0</v>
      </c>
      <c r="I104" s="17">
        <f t="shared" si="16"/>
        <v>0</v>
      </c>
      <c r="J104" s="17">
        <f>(Resumen!$C$10*(1-Resumen!$C$24)*(1+Incmat)^5)*C104</f>
        <v>0</v>
      </c>
      <c r="K104" s="17">
        <f>+IF(F104=1,PMT(X104,(Resumen!$C$36+Resumen!$C$26+Resumen!$C$14*6-B104+1),-Amortizacion!G104),0)</f>
        <v>0</v>
      </c>
      <c r="L104" s="17">
        <f t="shared" si="18"/>
        <v>0</v>
      </c>
      <c r="M104" s="17">
        <f>+IF(Resumen!$C$20="no",H104,0)</f>
        <v>0</v>
      </c>
      <c r="N104" s="17">
        <f t="shared" si="19"/>
        <v>5.8207660913467407E-11</v>
      </c>
      <c r="O104" s="17">
        <f>+IF(AND(Resumen!$C$18="SI",Amortizacion!E104=1),SUM($H$2:J104)*25%,0)</f>
        <v>0</v>
      </c>
      <c r="P104" s="1">
        <f t="shared" si="27"/>
        <v>0</v>
      </c>
      <c r="Q104" s="17">
        <f t="shared" si="28"/>
        <v>0</v>
      </c>
      <c r="R104" s="17">
        <f t="shared" si="20"/>
        <v>0</v>
      </c>
      <c r="S104" s="17">
        <f>(Resumen!$C$10*(Resumen!$C$24)*(1+Incmat)^5)*$C104</f>
        <v>0</v>
      </c>
      <c r="T104" s="21">
        <f t="shared" si="21"/>
        <v>0</v>
      </c>
      <c r="U104" s="17">
        <f t="shared" si="22"/>
        <v>0</v>
      </c>
      <c r="V104" s="17">
        <f t="shared" si="23"/>
        <v>0</v>
      </c>
      <c r="W104" s="17">
        <f t="shared" si="29"/>
        <v>5.8207660913467407E-11</v>
      </c>
      <c r="X104" s="15" t="str">
        <f>+IF(B104="","",Resumen!$C$34)</f>
        <v/>
      </c>
      <c r="Y104" s="16">
        <f t="shared" si="17"/>
        <v>0</v>
      </c>
      <c r="Z104" s="20">
        <f t="shared" si="24"/>
        <v>0</v>
      </c>
      <c r="AA104" s="20">
        <f t="shared" si="25"/>
        <v>0</v>
      </c>
      <c r="AB104" s="20">
        <f>+IF(Resumen!$C$8="no",0,W104*((1+10%)^(0.0833333333333333)-1))</f>
        <v>0</v>
      </c>
    </row>
    <row r="105" spans="1:28" x14ac:dyDescent="0.35">
      <c r="A105">
        <f t="shared" si="26"/>
        <v>104</v>
      </c>
      <c r="B105" t="str">
        <f>+IF(A105&gt;Resumen!$C$40,"",A105)</f>
        <v/>
      </c>
      <c r="C105" s="1">
        <f>+IFERROR(HLOOKUP($B105,Resumen!$F$3:$AM$10,8,0),0)</f>
        <v>0</v>
      </c>
      <c r="D105" s="1">
        <f>+IFERROR(HLOOKUP($B105,Resumen!$F$3:$AM$12,10),0)</f>
        <v>0</v>
      </c>
      <c r="E105" s="1">
        <f>+IF(B105=Resumen!$C$38*6-6,1,0)</f>
        <v>0</v>
      </c>
      <c r="F105" s="1">
        <f>+IFERROR(HLOOKUP($B105,Resumen!$F$3:$AM$14,12),0)</f>
        <v>0</v>
      </c>
      <c r="G105" s="17">
        <f t="shared" si="30"/>
        <v>5.8207660913467407E-11</v>
      </c>
      <c r="H105" s="17">
        <f>IF(X105="",0,IF(F105=0,ROUND(SUM(J$2:J105)*X105,2),0))</f>
        <v>0</v>
      </c>
      <c r="I105" s="17">
        <f t="shared" si="16"/>
        <v>0</v>
      </c>
      <c r="J105" s="17">
        <f>(Resumen!$C$10*(1-Resumen!$C$24)*(1+Incmat)^5)*C105</f>
        <v>0</v>
      </c>
      <c r="K105" s="17">
        <f>+IF(F105=1,PMT(X105,(Resumen!$C$36+Resumen!$C$26+Resumen!$C$14*6-B105+1),-Amortizacion!G105),0)</f>
        <v>0</v>
      </c>
      <c r="L105" s="17">
        <f t="shared" si="18"/>
        <v>0</v>
      </c>
      <c r="M105" s="17">
        <f>+IF(Resumen!$C$20="no",H105,0)</f>
        <v>0</v>
      </c>
      <c r="N105" s="17">
        <f t="shared" si="19"/>
        <v>5.8207660913467407E-11</v>
      </c>
      <c r="O105" s="17">
        <f>+IF(AND(Resumen!$C$18="SI",Amortizacion!E105=1),SUM($H$2:J105)*25%,0)</f>
        <v>0</v>
      </c>
      <c r="P105" s="1">
        <f t="shared" si="27"/>
        <v>0</v>
      </c>
      <c r="Q105" s="17">
        <f t="shared" si="28"/>
        <v>0</v>
      </c>
      <c r="R105" s="17">
        <f t="shared" si="20"/>
        <v>0</v>
      </c>
      <c r="S105" s="17">
        <f>(Resumen!$C$10*(Resumen!$C$24)*(1+Incmat)^5)*$C105</f>
        <v>0</v>
      </c>
      <c r="T105" s="21">
        <f t="shared" si="21"/>
        <v>0</v>
      </c>
      <c r="U105" s="17">
        <f t="shared" si="22"/>
        <v>0</v>
      </c>
      <c r="V105" s="17">
        <f t="shared" si="23"/>
        <v>0</v>
      </c>
      <c r="W105" s="17">
        <f t="shared" si="29"/>
        <v>5.8207660913467407E-11</v>
      </c>
      <c r="X105" s="15" t="str">
        <f>+IF(B105="","",Resumen!$C$34)</f>
        <v/>
      </c>
      <c r="Y105" s="16">
        <f t="shared" si="17"/>
        <v>0</v>
      </c>
      <c r="Z105" s="20">
        <f t="shared" si="24"/>
        <v>0</v>
      </c>
      <c r="AA105" s="20">
        <f t="shared" si="25"/>
        <v>0</v>
      </c>
      <c r="AB105" s="20">
        <f>+IF(Resumen!$C$8="no",0,W105*((1+10%)^(0.0833333333333333)-1))</f>
        <v>0</v>
      </c>
    </row>
    <row r="106" spans="1:28" x14ac:dyDescent="0.35">
      <c r="A106">
        <f t="shared" si="26"/>
        <v>105</v>
      </c>
      <c r="B106" t="str">
        <f>+IF(A106&gt;Resumen!$C$40,"",A106)</f>
        <v/>
      </c>
      <c r="C106" s="1">
        <f>+IFERROR(HLOOKUP($B106,Resumen!$F$3:$AM$10,8,0),0)</f>
        <v>0</v>
      </c>
      <c r="D106" s="1">
        <f>+IFERROR(HLOOKUP($B106,Resumen!$F$3:$AM$12,10),0)</f>
        <v>0</v>
      </c>
      <c r="E106" s="1">
        <f>+IF(B106=Resumen!$C$38*6-6,1,0)</f>
        <v>0</v>
      </c>
      <c r="F106" s="1">
        <f>+IFERROR(HLOOKUP($B106,Resumen!$F$3:$AM$14,12),0)</f>
        <v>0</v>
      </c>
      <c r="G106" s="17">
        <f t="shared" si="30"/>
        <v>5.8207660913467407E-11</v>
      </c>
      <c r="H106" s="17">
        <f>IF(X106="",0,IF(F106=0,ROUND(SUM(J$2:J106)*X106,2),0))</f>
        <v>0</v>
      </c>
      <c r="I106" s="17">
        <f t="shared" si="16"/>
        <v>0</v>
      </c>
      <c r="J106" s="17">
        <f>(Resumen!$C$10*(1-Resumen!$C$24)*(1+Incmat)^5)*C106</f>
        <v>0</v>
      </c>
      <c r="K106" s="17">
        <f>+IF(F106=1,PMT(X106,(Resumen!$C$36+Resumen!$C$26+Resumen!$C$14*6-B106+1),-Amortizacion!G106),0)</f>
        <v>0</v>
      </c>
      <c r="L106" s="17">
        <f t="shared" si="18"/>
        <v>0</v>
      </c>
      <c r="M106" s="17">
        <f>+IF(Resumen!$C$20="no",H106,0)</f>
        <v>0</v>
      </c>
      <c r="N106" s="17">
        <f t="shared" si="19"/>
        <v>5.8207660913467407E-11</v>
      </c>
      <c r="O106" s="17">
        <f>+IF(AND(Resumen!$C$18="SI",Amortizacion!E106=1),SUM($H$2:J106)*25%,0)</f>
        <v>0</v>
      </c>
      <c r="P106" s="1">
        <f t="shared" si="27"/>
        <v>0</v>
      </c>
      <c r="Q106" s="17">
        <f t="shared" si="28"/>
        <v>0</v>
      </c>
      <c r="R106" s="17">
        <f t="shared" si="20"/>
        <v>0</v>
      </c>
      <c r="S106" s="17">
        <f>(Resumen!$C$10*(Resumen!$C$24)*(1+Incmat)^5)*$C106</f>
        <v>0</v>
      </c>
      <c r="T106" s="21">
        <f t="shared" si="21"/>
        <v>0</v>
      </c>
      <c r="U106" s="17">
        <f t="shared" si="22"/>
        <v>0</v>
      </c>
      <c r="V106" s="17">
        <f t="shared" si="23"/>
        <v>0</v>
      </c>
      <c r="W106" s="17">
        <f t="shared" si="29"/>
        <v>5.8207660913467407E-11</v>
      </c>
      <c r="X106" s="15" t="str">
        <f>+IF(B106="","",Resumen!$C$34)</f>
        <v/>
      </c>
      <c r="Y106" s="16">
        <f t="shared" si="17"/>
        <v>0</v>
      </c>
      <c r="Z106" s="20">
        <f t="shared" si="24"/>
        <v>0</v>
      </c>
      <c r="AA106" s="20">
        <f t="shared" si="25"/>
        <v>0</v>
      </c>
      <c r="AB106" s="20">
        <f>+IF(Resumen!$C$8="no",0,W106*((1+10%)^(0.0833333333333333)-1))</f>
        <v>0</v>
      </c>
    </row>
    <row r="107" spans="1:28" x14ac:dyDescent="0.35">
      <c r="A107">
        <f t="shared" si="26"/>
        <v>106</v>
      </c>
      <c r="B107" t="str">
        <f>+IF(A107&gt;Resumen!$C$40,"",A107)</f>
        <v/>
      </c>
      <c r="C107" s="1">
        <f>+IFERROR(HLOOKUP($B107,Resumen!$F$3:$AM$10,8,0),0)</f>
        <v>0</v>
      </c>
      <c r="D107" s="1">
        <f>+IFERROR(HLOOKUP($B107,Resumen!$F$3:$AM$12,10),0)</f>
        <v>0</v>
      </c>
      <c r="E107" s="1">
        <f>+IF(B107=Resumen!$C$38*6-6,1,0)</f>
        <v>0</v>
      </c>
      <c r="F107" s="1">
        <f>+IFERROR(HLOOKUP($B107,Resumen!$F$3:$AM$14,12),0)</f>
        <v>0</v>
      </c>
      <c r="G107" s="17">
        <f t="shared" si="30"/>
        <v>5.8207660913467407E-11</v>
      </c>
      <c r="H107" s="17">
        <f>IF(X107="",0,IF(F107=0,ROUND(SUM(J$2:J107)*X107,2),0))</f>
        <v>0</v>
      </c>
      <c r="I107" s="17">
        <f t="shared" si="16"/>
        <v>0</v>
      </c>
      <c r="J107" s="17">
        <f>(Resumen!$C$10*(1-Resumen!$C$24)*(1+Incmat)^5)*C107</f>
        <v>0</v>
      </c>
      <c r="K107" s="17">
        <f>+IF(F107=1,PMT(X107,(Resumen!$C$36+Resumen!$C$26+Resumen!$C$14*6-B107+1),-Amortizacion!G107),0)</f>
        <v>0</v>
      </c>
      <c r="L107" s="17">
        <f t="shared" si="18"/>
        <v>0</v>
      </c>
      <c r="M107" s="17">
        <f>+IF(Resumen!$C$20="no",H107,0)</f>
        <v>0</v>
      </c>
      <c r="N107" s="17">
        <f t="shared" si="19"/>
        <v>5.8207660913467407E-11</v>
      </c>
      <c r="O107" s="17">
        <f>+IF(AND(Resumen!$C$18="SI",Amortizacion!E107=1),SUM($H$2:J107)*25%,0)</f>
        <v>0</v>
      </c>
      <c r="P107" s="1">
        <f t="shared" si="27"/>
        <v>0</v>
      </c>
      <c r="Q107" s="17">
        <f t="shared" si="28"/>
        <v>0</v>
      </c>
      <c r="R107" s="17">
        <f t="shared" si="20"/>
        <v>0</v>
      </c>
      <c r="S107" s="17">
        <f>(Resumen!$C$10*(Resumen!$C$24)*(1+Incmat)^5)*$C107</f>
        <v>0</v>
      </c>
      <c r="T107" s="21">
        <f t="shared" si="21"/>
        <v>0</v>
      </c>
      <c r="U107" s="17">
        <f t="shared" si="22"/>
        <v>0</v>
      </c>
      <c r="V107" s="17">
        <f t="shared" si="23"/>
        <v>0</v>
      </c>
      <c r="W107" s="17">
        <f t="shared" si="29"/>
        <v>5.8207660913467407E-11</v>
      </c>
      <c r="X107" s="15" t="str">
        <f>+IF(B107="","",Resumen!$C$34)</f>
        <v/>
      </c>
      <c r="Y107" s="16">
        <f t="shared" si="17"/>
        <v>0</v>
      </c>
      <c r="Z107" s="20">
        <f t="shared" si="24"/>
        <v>0</v>
      </c>
      <c r="AA107" s="20">
        <f t="shared" si="25"/>
        <v>0</v>
      </c>
      <c r="AB107" s="20">
        <f>+IF(Resumen!$C$8="no",0,W107*((1+10%)^(0.0833333333333333)-1))</f>
        <v>0</v>
      </c>
    </row>
    <row r="108" spans="1:28" x14ac:dyDescent="0.35">
      <c r="A108">
        <f t="shared" si="26"/>
        <v>107</v>
      </c>
      <c r="B108" t="str">
        <f>+IF(A108&gt;Resumen!$C$40,"",A108)</f>
        <v/>
      </c>
      <c r="C108" s="1">
        <f>+IFERROR(HLOOKUP($B108,Resumen!$F$3:$AM$10,8,0),0)</f>
        <v>0</v>
      </c>
      <c r="D108" s="1">
        <f>+IFERROR(HLOOKUP($B108,Resumen!$F$3:$AM$12,10),0)</f>
        <v>0</v>
      </c>
      <c r="E108" s="1">
        <f>+IF(B108=Resumen!$C$38*6-6,1,0)</f>
        <v>0</v>
      </c>
      <c r="F108" s="1">
        <f>+IFERROR(HLOOKUP($B108,Resumen!$F$3:$AM$14,12),0)</f>
        <v>0</v>
      </c>
      <c r="G108" s="17">
        <f t="shared" si="30"/>
        <v>5.8207660913467407E-11</v>
      </c>
      <c r="H108" s="17">
        <f>IF(X108="",0,IF(F108=0,ROUND(SUM(J$2:J108)*X108,2),0))</f>
        <v>0</v>
      </c>
      <c r="I108" s="17">
        <f t="shared" si="16"/>
        <v>0</v>
      </c>
      <c r="J108" s="17">
        <f>(Resumen!$C$10*(1-Resumen!$C$24)*(1+Incmat)^5)*C108</f>
        <v>0</v>
      </c>
      <c r="K108" s="17">
        <f>+IF(F108=1,PMT(X108,(Resumen!$C$36+Resumen!$C$26+Resumen!$C$14*6-B108+1),-Amortizacion!G108),0)</f>
        <v>0</v>
      </c>
      <c r="L108" s="17">
        <f t="shared" si="18"/>
        <v>0</v>
      </c>
      <c r="M108" s="17">
        <f>+IF(Resumen!$C$20="no",H108,0)</f>
        <v>0</v>
      </c>
      <c r="N108" s="17">
        <f t="shared" si="19"/>
        <v>5.8207660913467407E-11</v>
      </c>
      <c r="O108" s="17">
        <f>+IF(AND(Resumen!$C$18="SI",Amortizacion!E108=1),SUM($H$2:J108)*25%,0)</f>
        <v>0</v>
      </c>
      <c r="P108" s="1">
        <f t="shared" si="27"/>
        <v>0</v>
      </c>
      <c r="Q108" s="17">
        <f t="shared" si="28"/>
        <v>0</v>
      </c>
      <c r="R108" s="17">
        <f t="shared" si="20"/>
        <v>0</v>
      </c>
      <c r="S108" s="17">
        <f>(Resumen!$C$10*(Resumen!$C$24)*(1+Incmat)^5)*$C108</f>
        <v>0</v>
      </c>
      <c r="T108" s="21">
        <f t="shared" si="21"/>
        <v>0</v>
      </c>
      <c r="U108" s="17">
        <f t="shared" si="22"/>
        <v>0</v>
      </c>
      <c r="V108" s="17">
        <f t="shared" si="23"/>
        <v>0</v>
      </c>
      <c r="W108" s="17">
        <f t="shared" si="29"/>
        <v>5.8207660913467407E-11</v>
      </c>
      <c r="X108" s="15" t="str">
        <f>+IF(B108="","",Resumen!$C$34)</f>
        <v/>
      </c>
      <c r="Y108" s="16">
        <f t="shared" si="17"/>
        <v>0</v>
      </c>
      <c r="Z108" s="20">
        <f t="shared" si="24"/>
        <v>0</v>
      </c>
      <c r="AA108" s="20">
        <f t="shared" si="25"/>
        <v>0</v>
      </c>
      <c r="AB108" s="20">
        <f>+IF(Resumen!$C$8="no",0,W108*((1+10%)^(0.0833333333333333)-1))</f>
        <v>0</v>
      </c>
    </row>
    <row r="109" spans="1:28" x14ac:dyDescent="0.35">
      <c r="A109">
        <f t="shared" si="26"/>
        <v>108</v>
      </c>
      <c r="B109" t="str">
        <f>+IF(A109&gt;Resumen!$C$40,"",A109)</f>
        <v/>
      </c>
      <c r="C109" s="1">
        <f>+IFERROR(HLOOKUP($B109,Resumen!$F$3:$AM$10,8,0),0)</f>
        <v>0</v>
      </c>
      <c r="D109" s="1">
        <f>+IFERROR(HLOOKUP($B109,Resumen!$F$3:$AM$12,10),0)</f>
        <v>0</v>
      </c>
      <c r="E109" s="1">
        <f>+IF(B109=Resumen!$C$38*6-6,1,0)</f>
        <v>0</v>
      </c>
      <c r="F109" s="1">
        <f>+IFERROR(HLOOKUP($B109,Resumen!$F$3:$AM$14,12),0)</f>
        <v>0</v>
      </c>
      <c r="G109" s="17">
        <f t="shared" si="30"/>
        <v>5.8207660913467407E-11</v>
      </c>
      <c r="H109" s="17">
        <f>IF(X109="",0,IF(F109=0,ROUND(SUM(J$2:J109)*X109,2),0))</f>
        <v>0</v>
      </c>
      <c r="I109" s="17">
        <f t="shared" si="16"/>
        <v>0</v>
      </c>
      <c r="J109" s="17">
        <f>(Resumen!$C$10*(1-Resumen!$C$24)*(1+Incmat)^5)*C109</f>
        <v>0</v>
      </c>
      <c r="K109" s="17">
        <f>+IF(F109=1,PMT(X109,(Resumen!$C$36+Resumen!$C$26+Resumen!$C$14*6-B109+1),-Amortizacion!G109),0)</f>
        <v>0</v>
      </c>
      <c r="L109" s="17">
        <f t="shared" si="18"/>
        <v>0</v>
      </c>
      <c r="M109" s="17">
        <f>+IF(Resumen!$C$20="no",H109,0)</f>
        <v>0</v>
      </c>
      <c r="N109" s="17">
        <f t="shared" si="19"/>
        <v>5.8207660913467407E-11</v>
      </c>
      <c r="O109" s="17">
        <f>+IF(AND(Resumen!$C$18="SI",Amortizacion!E109=1),SUM($H$2:J109)*25%,0)</f>
        <v>0</v>
      </c>
      <c r="P109" s="1">
        <f t="shared" si="27"/>
        <v>0</v>
      </c>
      <c r="Q109" s="17">
        <f t="shared" si="28"/>
        <v>0</v>
      </c>
      <c r="R109" s="17">
        <f t="shared" si="20"/>
        <v>0</v>
      </c>
      <c r="S109" s="17">
        <f>(Resumen!$C$10*(Resumen!$C$24)*(1+Incmat)^5)*$C109</f>
        <v>0</v>
      </c>
      <c r="T109" s="21">
        <f t="shared" si="21"/>
        <v>0</v>
      </c>
      <c r="U109" s="17">
        <f t="shared" si="22"/>
        <v>0</v>
      </c>
      <c r="V109" s="17">
        <f t="shared" si="23"/>
        <v>0</v>
      </c>
      <c r="W109" s="17">
        <f t="shared" si="29"/>
        <v>5.8207660913467407E-11</v>
      </c>
      <c r="X109" s="15" t="str">
        <f>+IF(B109="","",Resumen!$C$34)</f>
        <v/>
      </c>
      <c r="Y109" s="16">
        <f t="shared" si="17"/>
        <v>0</v>
      </c>
      <c r="Z109" s="20">
        <f t="shared" si="24"/>
        <v>0</v>
      </c>
      <c r="AA109" s="20">
        <f t="shared" si="25"/>
        <v>0</v>
      </c>
      <c r="AB109" s="20">
        <f>+IF(Resumen!$C$8="no",0,W109*((1+10%)^(0.0833333333333333)-1))</f>
        <v>0</v>
      </c>
    </row>
    <row r="110" spans="1:28" x14ac:dyDescent="0.35">
      <c r="A110">
        <f t="shared" si="26"/>
        <v>109</v>
      </c>
      <c r="B110" t="str">
        <f>+IF(A110&gt;Resumen!$C$40,"",A110)</f>
        <v/>
      </c>
      <c r="C110" s="1">
        <f>+IFERROR(HLOOKUP($B110,Resumen!$F$3:$AM$10,8,0),0)</f>
        <v>0</v>
      </c>
      <c r="D110" s="1">
        <f>+IFERROR(HLOOKUP($B110,Resumen!$F$3:$AM$12,10),0)</f>
        <v>0</v>
      </c>
      <c r="E110" s="1">
        <f>+IF(B110=Resumen!$C$38*6-6,1,0)</f>
        <v>0</v>
      </c>
      <c r="F110" s="1">
        <f>+IFERROR(HLOOKUP($B110,Resumen!$F$3:$AM$14,12),0)</f>
        <v>0</v>
      </c>
      <c r="G110" s="17">
        <f t="shared" si="30"/>
        <v>5.8207660913467407E-11</v>
      </c>
      <c r="H110" s="17">
        <f>IF(X110="",0,IF(F110=0,ROUND(SUM(J$2:J110)*X110,2),0))</f>
        <v>0</v>
      </c>
      <c r="I110" s="17">
        <f t="shared" si="16"/>
        <v>0</v>
      </c>
      <c r="J110" s="17">
        <f>(Resumen!$C$10*(1-Resumen!$C$24)*(1+Incmat)^5)*C110</f>
        <v>0</v>
      </c>
      <c r="K110" s="17">
        <f>+IF(F110=1,PMT(X110,(Resumen!$C$36+Resumen!$C$26+Resumen!$C$14*6-B110+1),-Amortizacion!G110),0)</f>
        <v>0</v>
      </c>
      <c r="L110" s="17">
        <f t="shared" si="18"/>
        <v>0</v>
      </c>
      <c r="M110" s="17">
        <f>+IF(Resumen!$C$20="no",H110,0)</f>
        <v>0</v>
      </c>
      <c r="N110" s="17">
        <f t="shared" si="19"/>
        <v>5.8207660913467407E-11</v>
      </c>
      <c r="O110" s="17">
        <f>+IF(AND(Resumen!$C$18="SI",Amortizacion!E110=1),SUM($H$2:J110)*25%,0)</f>
        <v>0</v>
      </c>
      <c r="P110" s="1">
        <f t="shared" si="27"/>
        <v>0</v>
      </c>
      <c r="Q110" s="17">
        <f t="shared" si="28"/>
        <v>0</v>
      </c>
      <c r="R110" s="17">
        <f t="shared" si="20"/>
        <v>0</v>
      </c>
      <c r="S110" s="17">
        <f>(Resumen!$C$10*(Resumen!$C$24)*(1+Incmat)^5)*$C110</f>
        <v>0</v>
      </c>
      <c r="T110" s="21">
        <f t="shared" si="21"/>
        <v>0</v>
      </c>
      <c r="U110" s="17">
        <f t="shared" si="22"/>
        <v>0</v>
      </c>
      <c r="V110" s="17">
        <f t="shared" si="23"/>
        <v>0</v>
      </c>
      <c r="W110" s="17">
        <f t="shared" si="29"/>
        <v>5.8207660913467407E-11</v>
      </c>
      <c r="X110" s="15" t="str">
        <f>+IF(B110="","",Resumen!$C$34)</f>
        <v/>
      </c>
      <c r="Y110" s="16">
        <f t="shared" si="17"/>
        <v>0</v>
      </c>
      <c r="Z110" s="20">
        <f t="shared" si="24"/>
        <v>0</v>
      </c>
      <c r="AA110" s="20">
        <f t="shared" si="25"/>
        <v>0</v>
      </c>
      <c r="AB110" s="20">
        <f>+IF(Resumen!$C$8="no",0,W110*((1+10%)^(0.0833333333333333)-1))</f>
        <v>0</v>
      </c>
    </row>
    <row r="111" spans="1:28" x14ac:dyDescent="0.35">
      <c r="A111">
        <f t="shared" si="26"/>
        <v>110</v>
      </c>
      <c r="B111" t="str">
        <f>+IF(A111&gt;Resumen!$C$40,"",A111)</f>
        <v/>
      </c>
      <c r="C111" s="1">
        <f>+IFERROR(HLOOKUP($B111,Resumen!$F$3:$AM$10,8,0),0)</f>
        <v>0</v>
      </c>
      <c r="D111" s="1">
        <f>+IFERROR(HLOOKUP($B111,Resumen!$F$3:$AM$12,10),0)</f>
        <v>0</v>
      </c>
      <c r="E111" s="1">
        <f>+IF(B111=Resumen!$C$38*6-6,1,0)</f>
        <v>0</v>
      </c>
      <c r="F111" s="1">
        <f>+IFERROR(HLOOKUP($B111,Resumen!$F$3:$AM$14,12),0)</f>
        <v>0</v>
      </c>
      <c r="G111" s="17">
        <f t="shared" si="30"/>
        <v>5.8207660913467407E-11</v>
      </c>
      <c r="H111" s="17">
        <f>IF(X111="",0,IF(F111=0,ROUND(SUM(J$2:J111)*X111,2),0))</f>
        <v>0</v>
      </c>
      <c r="I111" s="17">
        <f t="shared" si="16"/>
        <v>0</v>
      </c>
      <c r="J111" s="17">
        <f>(Resumen!$C$10*(1-Resumen!$C$24)*(1+Incmat)^5)*C111</f>
        <v>0</v>
      </c>
      <c r="K111" s="17">
        <f>+IF(F111=1,PMT(X111,(Resumen!$C$36+Resumen!$C$26+Resumen!$C$14*6-B111+1),-Amortizacion!G111),0)</f>
        <v>0</v>
      </c>
      <c r="L111" s="17">
        <f t="shared" si="18"/>
        <v>0</v>
      </c>
      <c r="M111" s="17">
        <f>+IF(Resumen!$C$20="no",H111,0)</f>
        <v>0</v>
      </c>
      <c r="N111" s="17">
        <f t="shared" si="19"/>
        <v>5.8207660913467407E-11</v>
      </c>
      <c r="O111" s="17">
        <f>+IF(AND(Resumen!$C$18="SI",Amortizacion!E111=1),SUM($H$2:J111)*25%,0)</f>
        <v>0</v>
      </c>
      <c r="P111" s="1">
        <f t="shared" si="27"/>
        <v>0</v>
      </c>
      <c r="Q111" s="17">
        <f t="shared" si="28"/>
        <v>0</v>
      </c>
      <c r="R111" s="17">
        <f t="shared" si="20"/>
        <v>0</v>
      </c>
      <c r="S111" s="17">
        <f>(Resumen!$C$10*(Resumen!$C$24)*(1+Incmat)^5)*$C111</f>
        <v>0</v>
      </c>
      <c r="T111" s="21">
        <f t="shared" si="21"/>
        <v>0</v>
      </c>
      <c r="U111" s="17">
        <f t="shared" si="22"/>
        <v>0</v>
      </c>
      <c r="V111" s="17">
        <f t="shared" si="23"/>
        <v>0</v>
      </c>
      <c r="W111" s="17">
        <f t="shared" si="29"/>
        <v>5.8207660913467407E-11</v>
      </c>
      <c r="X111" s="15" t="str">
        <f>+IF(B111="","",Resumen!$C$34)</f>
        <v/>
      </c>
      <c r="Y111" s="16">
        <f t="shared" si="17"/>
        <v>0</v>
      </c>
      <c r="Z111" s="20">
        <f t="shared" si="24"/>
        <v>0</v>
      </c>
      <c r="AA111" s="20">
        <f t="shared" si="25"/>
        <v>0</v>
      </c>
      <c r="AB111" s="20">
        <f>+IF(Resumen!$C$8="no",0,W111*((1+10%)^(0.0833333333333333)-1))</f>
        <v>0</v>
      </c>
    </row>
    <row r="112" spans="1:28" x14ac:dyDescent="0.35">
      <c r="A112">
        <f t="shared" si="26"/>
        <v>111</v>
      </c>
      <c r="B112" t="str">
        <f>+IF(A112&gt;Resumen!$C$40,"",A112)</f>
        <v/>
      </c>
      <c r="C112" s="1">
        <f>+IFERROR(HLOOKUP($B112,Resumen!$F$3:$AM$10,8,0),0)</f>
        <v>0</v>
      </c>
      <c r="D112" s="1">
        <f>+IFERROR(HLOOKUP($B112,Resumen!$F$3:$AM$12,10),0)</f>
        <v>0</v>
      </c>
      <c r="E112" s="1">
        <f>+IF(B112=Resumen!$C$38*6-6,1,0)</f>
        <v>0</v>
      </c>
      <c r="F112" s="1">
        <f>+IFERROR(HLOOKUP($B112,Resumen!$F$3:$AM$14,12),0)</f>
        <v>0</v>
      </c>
      <c r="G112" s="17">
        <f t="shared" si="30"/>
        <v>5.8207660913467407E-11</v>
      </c>
      <c r="H112" s="17">
        <f>IF(X112="",0,IF(F112=0,ROUND(SUM(J$2:J112)*X112,2),0))</f>
        <v>0</v>
      </c>
      <c r="I112" s="17">
        <f t="shared" si="16"/>
        <v>0</v>
      </c>
      <c r="J112" s="17">
        <f>(Resumen!$C$10*(1-Resumen!$C$24)*(1+Incmat)^5)*C112</f>
        <v>0</v>
      </c>
      <c r="K112" s="17">
        <f>+IF(F112=1,PMT(X112,(Resumen!$C$36+Resumen!$C$26+Resumen!$C$14*6-B112+1),-Amortizacion!G112),0)</f>
        <v>0</v>
      </c>
      <c r="L112" s="17">
        <f t="shared" si="18"/>
        <v>0</v>
      </c>
      <c r="M112" s="17">
        <f>+IF(Resumen!$C$20="no",H112,0)</f>
        <v>0</v>
      </c>
      <c r="N112" s="17">
        <f t="shared" si="19"/>
        <v>5.8207660913467407E-11</v>
      </c>
      <c r="O112" s="17">
        <f>+IF(AND(Resumen!$C$18="SI",Amortizacion!E112=1),SUM($H$2:J112)*25%,0)</f>
        <v>0</v>
      </c>
      <c r="P112" s="1">
        <f t="shared" si="27"/>
        <v>0</v>
      </c>
      <c r="Q112" s="17">
        <f t="shared" si="28"/>
        <v>0</v>
      </c>
      <c r="R112" s="17">
        <f t="shared" si="20"/>
        <v>0</v>
      </c>
      <c r="S112" s="17">
        <f>(Resumen!$C$10*(Resumen!$C$24)*(1+Incmat)^5)*$C112</f>
        <v>0</v>
      </c>
      <c r="T112" s="21">
        <f t="shared" si="21"/>
        <v>0</v>
      </c>
      <c r="U112" s="17">
        <f t="shared" si="22"/>
        <v>0</v>
      </c>
      <c r="V112" s="17">
        <f t="shared" si="23"/>
        <v>0</v>
      </c>
      <c r="W112" s="17">
        <f t="shared" si="29"/>
        <v>5.8207660913467407E-11</v>
      </c>
      <c r="X112" s="15" t="str">
        <f>+IF(B112="","",Resumen!$C$34)</f>
        <v/>
      </c>
      <c r="Y112" s="16">
        <f t="shared" si="17"/>
        <v>0</v>
      </c>
      <c r="Z112" s="20">
        <f t="shared" si="24"/>
        <v>0</v>
      </c>
      <c r="AA112" s="20">
        <f t="shared" si="25"/>
        <v>0</v>
      </c>
      <c r="AB112" s="20">
        <f>+IF(Resumen!$C$8="no",0,W112*((1+10%)^(0.0833333333333333)-1))</f>
        <v>0</v>
      </c>
    </row>
    <row r="113" spans="1:28" x14ac:dyDescent="0.35">
      <c r="A113">
        <f t="shared" si="26"/>
        <v>112</v>
      </c>
      <c r="B113" t="str">
        <f>+IF(A113&gt;Resumen!$C$40,"",A113)</f>
        <v/>
      </c>
      <c r="C113" s="1">
        <f>+IFERROR(HLOOKUP($B113,Resumen!$F$3:$AM$10,8,0),0)</f>
        <v>0</v>
      </c>
      <c r="D113" s="1">
        <f>+IFERROR(HLOOKUP($B113,Resumen!$F$3:$AM$12,10),0)</f>
        <v>0</v>
      </c>
      <c r="E113" s="1">
        <f>+IF(B113=Resumen!$C$38*6-6,1,0)</f>
        <v>0</v>
      </c>
      <c r="F113" s="1">
        <f>+IFERROR(HLOOKUP($B113,Resumen!$F$3:$AM$14,12),0)</f>
        <v>0</v>
      </c>
      <c r="G113" s="17">
        <f t="shared" si="30"/>
        <v>5.8207660913467407E-11</v>
      </c>
      <c r="H113" s="17">
        <f>IF(X113="",0,IF(F113=0,ROUND(SUM(J$2:J113)*X113,2),0))</f>
        <v>0</v>
      </c>
      <c r="I113" s="17">
        <f t="shared" si="16"/>
        <v>0</v>
      </c>
      <c r="J113" s="17">
        <f>(Resumen!$C$10*(1-Resumen!$C$24)*(1+Incmat)^5)*C113</f>
        <v>0</v>
      </c>
      <c r="K113" s="17">
        <f>+IF(F113=1,PMT(X113,(Resumen!$C$36+Resumen!$C$26+Resumen!$C$14*6-B113+1),-Amortizacion!G113),0)</f>
        <v>0</v>
      </c>
      <c r="L113" s="17">
        <f t="shared" si="18"/>
        <v>0</v>
      </c>
      <c r="M113" s="17">
        <f>+IF(Resumen!$C$20="no",H113,0)</f>
        <v>0</v>
      </c>
      <c r="N113" s="17">
        <f t="shared" si="19"/>
        <v>5.8207660913467407E-11</v>
      </c>
      <c r="O113" s="17">
        <f>+IF(AND(Resumen!$C$18="SI",Amortizacion!E113=1),SUM($H$2:J113)*25%,0)</f>
        <v>0</v>
      </c>
      <c r="P113" s="1">
        <f t="shared" si="27"/>
        <v>0</v>
      </c>
      <c r="Q113" s="17">
        <f t="shared" si="28"/>
        <v>0</v>
      </c>
      <c r="R113" s="17">
        <f t="shared" si="20"/>
        <v>0</v>
      </c>
      <c r="S113" s="17">
        <f>(Resumen!$C$10*(Resumen!$C$24)*(1+Incmat)^5)*$C113</f>
        <v>0</v>
      </c>
      <c r="T113" s="21">
        <f t="shared" si="21"/>
        <v>0</v>
      </c>
      <c r="U113" s="17">
        <f t="shared" si="22"/>
        <v>0</v>
      </c>
      <c r="V113" s="17">
        <f t="shared" si="23"/>
        <v>0</v>
      </c>
      <c r="W113" s="17">
        <f t="shared" si="29"/>
        <v>5.8207660913467407E-11</v>
      </c>
      <c r="X113" s="15" t="str">
        <f>+IF(B113="","",Resumen!$C$34)</f>
        <v/>
      </c>
      <c r="Y113" s="16">
        <f t="shared" si="17"/>
        <v>0</v>
      </c>
      <c r="Z113" s="20">
        <f t="shared" si="24"/>
        <v>0</v>
      </c>
      <c r="AA113" s="20">
        <f t="shared" si="25"/>
        <v>0</v>
      </c>
      <c r="AB113" s="20">
        <f>+IF(Resumen!$C$8="no",0,W113*((1+10%)^(0.0833333333333333)-1))</f>
        <v>0</v>
      </c>
    </row>
    <row r="114" spans="1:28" x14ac:dyDescent="0.35">
      <c r="A114">
        <f t="shared" si="26"/>
        <v>113</v>
      </c>
      <c r="B114" t="str">
        <f>+IF(A114&gt;Resumen!$C$40,"",A114)</f>
        <v/>
      </c>
      <c r="C114" s="1">
        <f>+IFERROR(HLOOKUP($B114,Resumen!$F$3:$AM$10,8,0),0)</f>
        <v>0</v>
      </c>
      <c r="D114" s="1">
        <f>+IFERROR(HLOOKUP($B114,Resumen!$F$3:$AM$12,10),0)</f>
        <v>0</v>
      </c>
      <c r="E114" s="1">
        <f>+IF(B114=Resumen!$C$38*6-6,1,0)</f>
        <v>0</v>
      </c>
      <c r="F114" s="1">
        <f>+IFERROR(HLOOKUP($B114,Resumen!$F$3:$AM$14,12),0)</f>
        <v>0</v>
      </c>
      <c r="G114" s="17">
        <f t="shared" si="30"/>
        <v>5.8207660913467407E-11</v>
      </c>
      <c r="H114" s="17">
        <f>IF(X114="",0,IF(F114=0,ROUND(SUM(J$2:J114)*X114,2),0))</f>
        <v>0</v>
      </c>
      <c r="I114" s="17">
        <f t="shared" si="16"/>
        <v>0</v>
      </c>
      <c r="J114" s="17">
        <f>(Resumen!$C$10*(1-Resumen!$C$24)*(1+Incmat)^5)*C114</f>
        <v>0</v>
      </c>
      <c r="K114" s="17">
        <f>+IF(F114=1,PMT(X114,(Resumen!$C$36+Resumen!$C$26+Resumen!$C$14*6-B114+1),-Amortizacion!G114),0)</f>
        <v>0</v>
      </c>
      <c r="L114" s="17">
        <f t="shared" si="18"/>
        <v>0</v>
      </c>
      <c r="M114" s="17">
        <f>+IF(Resumen!$C$20="no",H114,0)</f>
        <v>0</v>
      </c>
      <c r="N114" s="17">
        <f t="shared" si="19"/>
        <v>5.8207660913467407E-11</v>
      </c>
      <c r="O114" s="17">
        <f>+IF(AND(Resumen!$C$18="SI",Amortizacion!E114=1),SUM($H$2:J114)*25%,0)</f>
        <v>0</v>
      </c>
      <c r="P114" s="1">
        <f t="shared" si="27"/>
        <v>0</v>
      </c>
      <c r="Q114" s="17">
        <f t="shared" si="28"/>
        <v>0</v>
      </c>
      <c r="R114" s="17">
        <f t="shared" si="20"/>
        <v>0</v>
      </c>
      <c r="S114" s="17">
        <f>(Resumen!$C$10*(Resumen!$C$24)*(1+Incmat)^5)*$C114</f>
        <v>0</v>
      </c>
      <c r="T114" s="21">
        <f t="shared" si="21"/>
        <v>0</v>
      </c>
      <c r="U114" s="17">
        <f t="shared" si="22"/>
        <v>0</v>
      </c>
      <c r="V114" s="17">
        <f t="shared" si="23"/>
        <v>0</v>
      </c>
      <c r="W114" s="17">
        <f t="shared" si="29"/>
        <v>5.8207660913467407E-11</v>
      </c>
      <c r="X114" s="15" t="str">
        <f>+IF(B114="","",Resumen!$C$34)</f>
        <v/>
      </c>
      <c r="Y114" s="16">
        <f t="shared" si="17"/>
        <v>0</v>
      </c>
      <c r="Z114" s="20">
        <f t="shared" si="24"/>
        <v>0</v>
      </c>
      <c r="AA114" s="20">
        <f t="shared" si="25"/>
        <v>0</v>
      </c>
      <c r="AB114" s="20">
        <f>+IF(Resumen!$C$8="no",0,W114*((1+10%)^(0.0833333333333333)-1))</f>
        <v>0</v>
      </c>
    </row>
    <row r="115" spans="1:28" x14ac:dyDescent="0.35">
      <c r="A115">
        <f t="shared" si="26"/>
        <v>114</v>
      </c>
      <c r="B115" t="str">
        <f>+IF(A115&gt;Resumen!$C$40,"",A115)</f>
        <v/>
      </c>
      <c r="C115" s="1">
        <f>+IFERROR(HLOOKUP($B115,Resumen!$F$3:$AM$10,8,0),0)</f>
        <v>0</v>
      </c>
      <c r="D115" s="1">
        <f>+IFERROR(HLOOKUP($B115,Resumen!$F$3:$AM$12,10),0)</f>
        <v>0</v>
      </c>
      <c r="E115" s="1">
        <f>+IF(B115=Resumen!$C$38*6-6,1,0)</f>
        <v>0</v>
      </c>
      <c r="F115" s="1">
        <f>+IFERROR(HLOOKUP($B115,Resumen!$F$3:$AM$14,12),0)</f>
        <v>0</v>
      </c>
      <c r="G115" s="17">
        <f t="shared" si="30"/>
        <v>5.8207660913467407E-11</v>
      </c>
      <c r="H115" s="17">
        <f>IF(X115="",0,IF(F115=0,ROUND(SUM(J$2:J115)*X115,2),0))</f>
        <v>0</v>
      </c>
      <c r="I115" s="17">
        <f t="shared" si="16"/>
        <v>0</v>
      </c>
      <c r="J115" s="17">
        <f>(Resumen!$C$10*(1-Resumen!$C$24)*(1+Incmat)^5)*C115</f>
        <v>0</v>
      </c>
      <c r="K115" s="17">
        <f>+IF(F115=1,PMT(X115,(Resumen!$C$36+Resumen!$C$26+Resumen!$C$14*6-B115+1),-Amortizacion!G115),0)</f>
        <v>0</v>
      </c>
      <c r="L115" s="17">
        <f t="shared" si="18"/>
        <v>0</v>
      </c>
      <c r="M115" s="17">
        <f>+IF(Resumen!$C$20="no",H115,0)</f>
        <v>0</v>
      </c>
      <c r="N115" s="17">
        <f t="shared" si="19"/>
        <v>5.8207660913467407E-11</v>
      </c>
      <c r="O115" s="17">
        <f>+IF(AND(Resumen!$C$18="SI",Amortizacion!E115=1),SUM($H$2:J115)*25%,0)</f>
        <v>0</v>
      </c>
      <c r="P115" s="1">
        <f t="shared" si="27"/>
        <v>0</v>
      </c>
      <c r="Q115" s="17">
        <f t="shared" si="28"/>
        <v>0</v>
      </c>
      <c r="R115" s="17">
        <f t="shared" si="20"/>
        <v>0</v>
      </c>
      <c r="S115" s="17">
        <f>(Resumen!$C$10*(Resumen!$C$24)*(1+Incmat)^5)*$C115</f>
        <v>0</v>
      </c>
      <c r="T115" s="21">
        <f t="shared" si="21"/>
        <v>0</v>
      </c>
      <c r="U115" s="17">
        <f t="shared" si="22"/>
        <v>0</v>
      </c>
      <c r="V115" s="17">
        <f t="shared" si="23"/>
        <v>0</v>
      </c>
      <c r="W115" s="17">
        <f t="shared" si="29"/>
        <v>5.8207660913467407E-11</v>
      </c>
      <c r="X115" s="15" t="str">
        <f>+IF(B115="","",Resumen!$C$34)</f>
        <v/>
      </c>
      <c r="Y115" s="16">
        <f t="shared" si="17"/>
        <v>0</v>
      </c>
      <c r="Z115" s="20">
        <f t="shared" si="24"/>
        <v>0</v>
      </c>
      <c r="AA115" s="20">
        <f t="shared" si="25"/>
        <v>0</v>
      </c>
      <c r="AB115" s="20">
        <f>+IF(Resumen!$C$8="no",0,W115*((1+10%)^(0.0833333333333333)-1))</f>
        <v>0</v>
      </c>
    </row>
    <row r="116" spans="1:28" x14ac:dyDescent="0.35">
      <c r="A116">
        <f t="shared" si="26"/>
        <v>115</v>
      </c>
      <c r="B116" t="str">
        <f>+IF(A116&gt;Resumen!$C$40,"",A116)</f>
        <v/>
      </c>
      <c r="C116" s="1">
        <f>+IFERROR(HLOOKUP($B116,Resumen!$F$3:$AM$10,8,0),0)</f>
        <v>0</v>
      </c>
      <c r="D116" s="1">
        <f>+IFERROR(HLOOKUP($B116,Resumen!$F$3:$AM$12,10),0)</f>
        <v>0</v>
      </c>
      <c r="E116" s="1">
        <f>+IF(B116=Resumen!$C$38*6-6,1,0)</f>
        <v>0</v>
      </c>
      <c r="F116" s="1">
        <f>+IFERROR(HLOOKUP($B116,Resumen!$F$3:$AM$14,12),0)</f>
        <v>0</v>
      </c>
      <c r="G116" s="17">
        <f t="shared" si="30"/>
        <v>5.8207660913467407E-11</v>
      </c>
      <c r="H116" s="17">
        <f>IF(X116="",0,IF(F116=0,ROUND(SUM(J$2:J116)*X116,2),0))</f>
        <v>0</v>
      </c>
      <c r="I116" s="17">
        <f t="shared" si="16"/>
        <v>0</v>
      </c>
      <c r="J116" s="17">
        <f>(Resumen!$C$10*(1-Resumen!$C$24)*(1+Incmat)^5)*C116</f>
        <v>0</v>
      </c>
      <c r="K116" s="17">
        <f>+IF(F116=1,PMT(X116,(Resumen!$C$36+Resumen!$C$26+Resumen!$C$14*6-B116+1),-Amortizacion!G116),0)</f>
        <v>0</v>
      </c>
      <c r="L116" s="17">
        <f t="shared" si="18"/>
        <v>0</v>
      </c>
      <c r="M116" s="17">
        <f>+IF(Resumen!$C$20="no",H116,0)</f>
        <v>0</v>
      </c>
      <c r="N116" s="17">
        <f t="shared" si="19"/>
        <v>5.8207660913467407E-11</v>
      </c>
      <c r="O116" s="17">
        <f>+IF(AND(Resumen!$C$18="SI",Amortizacion!E116=1),SUM($H$2:J116)*25%,0)</f>
        <v>0</v>
      </c>
      <c r="P116" s="1">
        <f t="shared" si="27"/>
        <v>0</v>
      </c>
      <c r="Q116" s="17">
        <f t="shared" si="28"/>
        <v>0</v>
      </c>
      <c r="R116" s="17">
        <f t="shared" si="20"/>
        <v>0</v>
      </c>
      <c r="S116" s="17">
        <f>(Resumen!$C$10*(Resumen!$C$24)*(1+Incmat)^5)*$C116</f>
        <v>0</v>
      </c>
      <c r="T116" s="21">
        <f t="shared" si="21"/>
        <v>0</v>
      </c>
      <c r="U116" s="17">
        <f t="shared" si="22"/>
        <v>0</v>
      </c>
      <c r="V116" s="17">
        <f t="shared" si="23"/>
        <v>0</v>
      </c>
      <c r="W116" s="17">
        <f t="shared" si="29"/>
        <v>5.8207660913467407E-11</v>
      </c>
      <c r="X116" s="15" t="str">
        <f>+IF(B116="","",Resumen!$C$34)</f>
        <v/>
      </c>
      <c r="Y116" s="16">
        <f t="shared" si="17"/>
        <v>0</v>
      </c>
      <c r="Z116" s="20">
        <f t="shared" si="24"/>
        <v>0</v>
      </c>
      <c r="AA116" s="20">
        <f t="shared" si="25"/>
        <v>0</v>
      </c>
      <c r="AB116" s="20">
        <f>+IF(Resumen!$C$8="no",0,W116*((1+10%)^(0.0833333333333333)-1))</f>
        <v>0</v>
      </c>
    </row>
    <row r="117" spans="1:28" x14ac:dyDescent="0.35">
      <c r="A117">
        <f t="shared" si="26"/>
        <v>116</v>
      </c>
      <c r="B117" t="str">
        <f>+IF(A117&gt;Resumen!$C$40,"",A117)</f>
        <v/>
      </c>
      <c r="C117" s="1">
        <f>+IFERROR(HLOOKUP($B117,Resumen!$F$3:$AM$10,8,0),0)</f>
        <v>0</v>
      </c>
      <c r="D117" s="1">
        <f>+IFERROR(HLOOKUP($B117,Resumen!$F$3:$AM$12,10),0)</f>
        <v>0</v>
      </c>
      <c r="E117" s="1">
        <f>+IF(B117=Resumen!$C$38*6-6,1,0)</f>
        <v>0</v>
      </c>
      <c r="F117" s="1">
        <f>+IFERROR(HLOOKUP($B117,Resumen!$F$3:$AM$14,12),0)</f>
        <v>0</v>
      </c>
      <c r="G117" s="17">
        <f t="shared" si="30"/>
        <v>5.8207660913467407E-11</v>
      </c>
      <c r="H117" s="17">
        <f>IF(X117="",0,IF(F117=0,ROUND(SUM(J$2:J117)*X117,2),0))</f>
        <v>0</v>
      </c>
      <c r="I117" s="17">
        <f t="shared" si="16"/>
        <v>0</v>
      </c>
      <c r="J117" s="17">
        <f>(Resumen!$C$10*(1-Resumen!$C$24)*(1+Incmat)^5)*C117</f>
        <v>0</v>
      </c>
      <c r="K117" s="17">
        <f>+IF(F117=1,PMT(X117,(Resumen!$C$36+Resumen!$C$26+Resumen!$C$14*6-B117+1),-Amortizacion!G117),0)</f>
        <v>0</v>
      </c>
      <c r="L117" s="17">
        <f t="shared" si="18"/>
        <v>0</v>
      </c>
      <c r="M117" s="17">
        <f>+IF(Resumen!$C$20="no",H117,0)</f>
        <v>0</v>
      </c>
      <c r="N117" s="17">
        <f t="shared" si="19"/>
        <v>5.8207660913467407E-11</v>
      </c>
      <c r="O117" s="17">
        <f>+IF(AND(Resumen!$C$18="SI",Amortizacion!E117=1),SUM($H$2:J117)*25%,0)</f>
        <v>0</v>
      </c>
      <c r="P117" s="1">
        <f t="shared" si="27"/>
        <v>0</v>
      </c>
      <c r="Q117" s="17">
        <f t="shared" si="28"/>
        <v>0</v>
      </c>
      <c r="R117" s="17">
        <f t="shared" si="20"/>
        <v>0</v>
      </c>
      <c r="S117" s="17">
        <f>(Resumen!$C$10*(Resumen!$C$24)*(1+Incmat)^5)*$C117</f>
        <v>0</v>
      </c>
      <c r="T117" s="21">
        <f t="shared" si="21"/>
        <v>0</v>
      </c>
      <c r="U117" s="17">
        <f t="shared" si="22"/>
        <v>0</v>
      </c>
      <c r="V117" s="17">
        <f t="shared" si="23"/>
        <v>0</v>
      </c>
      <c r="W117" s="17">
        <f t="shared" si="29"/>
        <v>5.8207660913467407E-11</v>
      </c>
      <c r="X117" s="15" t="str">
        <f>+IF(B117="","",Resumen!$C$34)</f>
        <v/>
      </c>
      <c r="Y117" s="16">
        <f t="shared" si="17"/>
        <v>0</v>
      </c>
      <c r="Z117" s="20">
        <f t="shared" si="24"/>
        <v>0</v>
      </c>
      <c r="AA117" s="20">
        <f t="shared" si="25"/>
        <v>0</v>
      </c>
      <c r="AB117" s="20">
        <f>+IF(Resumen!$C$8="no",0,W117*((1+10%)^(0.0833333333333333)-1))</f>
        <v>0</v>
      </c>
    </row>
    <row r="118" spans="1:28" x14ac:dyDescent="0.35">
      <c r="A118">
        <f t="shared" si="26"/>
        <v>117</v>
      </c>
      <c r="B118" t="str">
        <f>+IF(A118&gt;Resumen!$C$40,"",A118)</f>
        <v/>
      </c>
      <c r="C118" s="1">
        <f>+IFERROR(HLOOKUP($B118,Resumen!$F$3:$AM$10,8,0),0)</f>
        <v>0</v>
      </c>
      <c r="D118" s="1">
        <f>+IFERROR(HLOOKUP($B118,Resumen!$F$3:$AM$12,10),0)</f>
        <v>0</v>
      </c>
      <c r="E118" s="1">
        <f>+IF(B118=Resumen!$C$38*6-6,1,0)</f>
        <v>0</v>
      </c>
      <c r="F118" s="1">
        <f>+IFERROR(HLOOKUP($B118,Resumen!$F$3:$AM$14,12),0)</f>
        <v>0</v>
      </c>
      <c r="G118" s="17">
        <f t="shared" si="30"/>
        <v>5.8207660913467407E-11</v>
      </c>
      <c r="H118" s="17">
        <f>IF(X118="",0,IF(F118=0,ROUND(SUM(J$2:J118)*X118,2),0))</f>
        <v>0</v>
      </c>
      <c r="I118" s="17">
        <f t="shared" si="16"/>
        <v>0</v>
      </c>
      <c r="J118" s="17">
        <f>(Resumen!$C$10*(1-Resumen!$C$24)*(1+Incmat)^5)*C118</f>
        <v>0</v>
      </c>
      <c r="K118" s="17">
        <f>+IF(F118=1,PMT(X118,(Resumen!$C$36+Resumen!$C$26+Resumen!$C$14*6-B118+1),-Amortizacion!G118),0)</f>
        <v>0</v>
      </c>
      <c r="L118" s="17">
        <f t="shared" si="18"/>
        <v>0</v>
      </c>
      <c r="M118" s="17">
        <f>+IF(Resumen!$C$20="no",H118,0)</f>
        <v>0</v>
      </c>
      <c r="N118" s="17">
        <f t="shared" si="19"/>
        <v>5.8207660913467407E-11</v>
      </c>
      <c r="O118" s="17">
        <f>+IF(AND(Resumen!$C$18="SI",Amortizacion!E118=1),SUM($H$2:J118)*25%,0)</f>
        <v>0</v>
      </c>
      <c r="P118" s="1">
        <f t="shared" si="27"/>
        <v>0</v>
      </c>
      <c r="Q118" s="17">
        <f t="shared" si="28"/>
        <v>0</v>
      </c>
      <c r="R118" s="17">
        <f t="shared" si="20"/>
        <v>0</v>
      </c>
      <c r="S118" s="17">
        <f>(Resumen!$C$10*(Resumen!$C$24)*(1+Incmat)^5)*$C118</f>
        <v>0</v>
      </c>
      <c r="T118" s="21">
        <f t="shared" si="21"/>
        <v>0</v>
      </c>
      <c r="U118" s="17">
        <f t="shared" si="22"/>
        <v>0</v>
      </c>
      <c r="V118" s="17">
        <f t="shared" si="23"/>
        <v>0</v>
      </c>
      <c r="W118" s="17">
        <f t="shared" si="29"/>
        <v>5.8207660913467407E-11</v>
      </c>
      <c r="X118" s="15" t="str">
        <f>+IF(B118="","",Resumen!$C$34)</f>
        <v/>
      </c>
      <c r="Y118" s="16">
        <f t="shared" si="17"/>
        <v>0</v>
      </c>
      <c r="Z118" s="20">
        <f t="shared" si="24"/>
        <v>0</v>
      </c>
      <c r="AA118" s="20">
        <f t="shared" si="25"/>
        <v>0</v>
      </c>
      <c r="AB118" s="20">
        <f>+IF(Resumen!$C$8="no",0,W118*((1+10%)^(0.0833333333333333)-1))</f>
        <v>0</v>
      </c>
    </row>
    <row r="119" spans="1:28" x14ac:dyDescent="0.35">
      <c r="A119">
        <f t="shared" si="26"/>
        <v>118</v>
      </c>
      <c r="B119" t="str">
        <f>+IF(A119&gt;Resumen!$C$40,"",A119)</f>
        <v/>
      </c>
      <c r="C119" s="1">
        <f>+IFERROR(HLOOKUP($B119,Resumen!$F$3:$AM$10,8,0),0)</f>
        <v>0</v>
      </c>
      <c r="D119" s="1">
        <f>+IFERROR(HLOOKUP($B119,Resumen!$F$3:$AM$12,10),0)</f>
        <v>0</v>
      </c>
      <c r="E119" s="1">
        <f>+IF(B119=Resumen!$C$38*6-6,1,0)</f>
        <v>0</v>
      </c>
      <c r="F119" s="1">
        <f>+IFERROR(HLOOKUP($B119,Resumen!$F$3:$AM$14,12),0)</f>
        <v>0</v>
      </c>
      <c r="G119" s="17">
        <f t="shared" si="30"/>
        <v>5.8207660913467407E-11</v>
      </c>
      <c r="H119" s="17">
        <f>IF(X119="",0,IF(F119=0,ROUND(SUM(J$2:J119)*X119,2),0))</f>
        <v>0</v>
      </c>
      <c r="I119" s="17">
        <f t="shared" si="16"/>
        <v>0</v>
      </c>
      <c r="J119" s="17">
        <f>(Resumen!$C$10*(1-Resumen!$C$24)*(1+Incmat)^5)*C119</f>
        <v>0</v>
      </c>
      <c r="K119" s="17">
        <f>+IF(F119=1,PMT(X119,(Resumen!$C$36+Resumen!$C$26+Resumen!$C$14*6-B119+1),-Amortizacion!G119),0)</f>
        <v>0</v>
      </c>
      <c r="L119" s="17">
        <f t="shared" si="18"/>
        <v>0</v>
      </c>
      <c r="M119" s="17">
        <f>+IF(Resumen!$C$20="no",H119,0)</f>
        <v>0</v>
      </c>
      <c r="N119" s="17">
        <f t="shared" si="19"/>
        <v>5.8207660913467407E-11</v>
      </c>
      <c r="O119" s="17">
        <f>+IF(AND(Resumen!$C$18="SI",Amortizacion!E119=1),SUM($H$2:J119)*25%,0)</f>
        <v>0</v>
      </c>
      <c r="P119" s="1">
        <f t="shared" si="27"/>
        <v>0</v>
      </c>
      <c r="Q119" s="17">
        <f t="shared" si="28"/>
        <v>0</v>
      </c>
      <c r="R119" s="17">
        <f t="shared" si="20"/>
        <v>0</v>
      </c>
      <c r="S119" s="17">
        <f>(Resumen!$C$10*(Resumen!$C$24)*(1+Incmat)^5)*$C119</f>
        <v>0</v>
      </c>
      <c r="T119" s="21">
        <f t="shared" si="21"/>
        <v>0</v>
      </c>
      <c r="U119" s="17">
        <f t="shared" si="22"/>
        <v>0</v>
      </c>
      <c r="V119" s="17">
        <f t="shared" si="23"/>
        <v>0</v>
      </c>
      <c r="W119" s="17">
        <f t="shared" si="29"/>
        <v>5.8207660913467407E-11</v>
      </c>
      <c r="X119" s="15" t="str">
        <f>+IF(B119="","",Resumen!$C$34)</f>
        <v/>
      </c>
      <c r="Y119" s="16">
        <f t="shared" si="17"/>
        <v>0</v>
      </c>
      <c r="Z119" s="20">
        <f t="shared" si="24"/>
        <v>0</v>
      </c>
      <c r="AA119" s="20">
        <f t="shared" si="25"/>
        <v>0</v>
      </c>
      <c r="AB119" s="20">
        <f>+IF(Resumen!$C$8="no",0,W119*((1+10%)^(0.0833333333333333)-1))</f>
        <v>0</v>
      </c>
    </row>
    <row r="120" spans="1:28" x14ac:dyDescent="0.35">
      <c r="A120">
        <f t="shared" si="26"/>
        <v>119</v>
      </c>
      <c r="B120" t="str">
        <f>+IF(A120&gt;Resumen!$C$40,"",A120)</f>
        <v/>
      </c>
      <c r="C120" s="1">
        <f>+IFERROR(HLOOKUP($B120,Resumen!$F$3:$AM$10,8,0),0)</f>
        <v>0</v>
      </c>
      <c r="D120" s="1">
        <f>+IFERROR(HLOOKUP($B120,Resumen!$F$3:$AM$12,10),0)</f>
        <v>0</v>
      </c>
      <c r="E120" s="1">
        <f>+IF(B120=Resumen!$C$38*6-6,1,0)</f>
        <v>0</v>
      </c>
      <c r="F120" s="1">
        <f>+IFERROR(HLOOKUP($B120,Resumen!$F$3:$AM$14,12),0)</f>
        <v>0</v>
      </c>
      <c r="G120" s="17">
        <f t="shared" si="30"/>
        <v>5.8207660913467407E-11</v>
      </c>
      <c r="H120" s="17">
        <f>IF(X120="",0,IF(F120=0,ROUND(SUM(J$2:J120)*X120,2),0))</f>
        <v>0</v>
      </c>
      <c r="I120" s="17">
        <f t="shared" si="16"/>
        <v>0</v>
      </c>
      <c r="J120" s="17">
        <f>(Resumen!$C$10*(1-Resumen!$C$24)*(1+Incmat)^5)*C120</f>
        <v>0</v>
      </c>
      <c r="K120" s="17">
        <f>+IF(F120=1,PMT(X120,(Resumen!$C$36+Resumen!$C$26+Resumen!$C$14*6-B120+1),-Amortizacion!G120),0)</f>
        <v>0</v>
      </c>
      <c r="L120" s="17">
        <f t="shared" si="18"/>
        <v>0</v>
      </c>
      <c r="M120" s="17">
        <f>+IF(Resumen!$C$20="no",H120,0)</f>
        <v>0</v>
      </c>
      <c r="N120" s="17">
        <f t="shared" si="19"/>
        <v>5.8207660913467407E-11</v>
      </c>
      <c r="O120" s="17">
        <f>+IF(AND(Resumen!$C$18="SI",Amortizacion!E120=1),SUM($H$2:J120)*25%,0)</f>
        <v>0</v>
      </c>
      <c r="P120" s="1">
        <f t="shared" si="27"/>
        <v>0</v>
      </c>
      <c r="Q120" s="17">
        <f t="shared" si="28"/>
        <v>0</v>
      </c>
      <c r="R120" s="17">
        <f t="shared" si="20"/>
        <v>0</v>
      </c>
      <c r="S120" s="17">
        <f>(Resumen!$C$10*(Resumen!$C$24)*(1+Incmat)^5)*$C120</f>
        <v>0</v>
      </c>
      <c r="T120" s="21">
        <f t="shared" si="21"/>
        <v>0</v>
      </c>
      <c r="U120" s="17">
        <f t="shared" si="22"/>
        <v>0</v>
      </c>
      <c r="V120" s="17">
        <f t="shared" si="23"/>
        <v>0</v>
      </c>
      <c r="W120" s="17">
        <f t="shared" si="29"/>
        <v>5.8207660913467407E-11</v>
      </c>
      <c r="X120" s="15" t="str">
        <f>+IF(B120="","",Resumen!$C$34)</f>
        <v/>
      </c>
      <c r="Y120" s="16">
        <f t="shared" si="17"/>
        <v>0</v>
      </c>
      <c r="Z120" s="20">
        <f t="shared" si="24"/>
        <v>0</v>
      </c>
      <c r="AA120" s="20">
        <f t="shared" si="25"/>
        <v>0</v>
      </c>
      <c r="AB120" s="20">
        <f>+IF(Resumen!$C$8="no",0,W120*((1+10%)^(0.0833333333333333)-1))</f>
        <v>0</v>
      </c>
    </row>
    <row r="121" spans="1:28" x14ac:dyDescent="0.35">
      <c r="A121">
        <f t="shared" si="26"/>
        <v>120</v>
      </c>
      <c r="B121" t="str">
        <f>+IF(A121&gt;Resumen!$C$40,"",A121)</f>
        <v/>
      </c>
      <c r="C121" s="1">
        <f>+IFERROR(HLOOKUP($B121,Resumen!$F$3:$AM$10,8,0),0)</f>
        <v>0</v>
      </c>
      <c r="D121" s="1">
        <f>+IFERROR(HLOOKUP($B121,Resumen!$F$3:$AM$12,10),0)</f>
        <v>0</v>
      </c>
      <c r="E121" s="1">
        <f>+IF(B121=Resumen!$C$38*6-6,1,0)</f>
        <v>0</v>
      </c>
      <c r="F121" s="1">
        <f>+IFERROR(HLOOKUP($B121,Resumen!$F$3:$AM$14,12),0)</f>
        <v>0</v>
      </c>
      <c r="G121" s="17">
        <f t="shared" si="30"/>
        <v>5.8207660913467407E-11</v>
      </c>
      <c r="H121" s="17">
        <f>IF(X121="",0,IF(F121=0,ROUND(SUM(J$2:J121)*X121,2),0))</f>
        <v>0</v>
      </c>
      <c r="I121" s="17">
        <f t="shared" si="16"/>
        <v>0</v>
      </c>
      <c r="J121" s="17">
        <f>(Resumen!$C$10*(1-Resumen!$C$24)*(1+Incmat)^5)*C121</f>
        <v>0</v>
      </c>
      <c r="K121" s="17">
        <f>+IF(F121=1,PMT(X121,(Resumen!$C$36+Resumen!$C$26+Resumen!$C$14*6-B121+1),-Amortizacion!G121),0)</f>
        <v>0</v>
      </c>
      <c r="L121" s="17">
        <f t="shared" si="18"/>
        <v>0</v>
      </c>
      <c r="M121" s="17">
        <f>+IF(Resumen!$C$20="no",H121,0)</f>
        <v>0</v>
      </c>
      <c r="N121" s="17">
        <f t="shared" si="19"/>
        <v>5.8207660913467407E-11</v>
      </c>
      <c r="O121" s="17">
        <f>+IF(AND(Resumen!$C$18="SI",Amortizacion!E121=1),SUM($H$2:J121)*25%,0)</f>
        <v>0</v>
      </c>
      <c r="P121" s="1">
        <f t="shared" si="27"/>
        <v>0</v>
      </c>
      <c r="Q121" s="17">
        <f t="shared" si="28"/>
        <v>0</v>
      </c>
      <c r="R121" s="17">
        <f t="shared" si="20"/>
        <v>0</v>
      </c>
      <c r="S121" s="17">
        <f>(Resumen!$C$10*(Resumen!$C$24)*(1+Incmat)^5)*$C121</f>
        <v>0</v>
      </c>
      <c r="T121" s="21">
        <f t="shared" si="21"/>
        <v>0</v>
      </c>
      <c r="U121" s="17">
        <f t="shared" si="22"/>
        <v>0</v>
      </c>
      <c r="V121" s="17">
        <f t="shared" si="23"/>
        <v>0</v>
      </c>
      <c r="W121" s="17">
        <f t="shared" si="29"/>
        <v>5.8207660913467407E-11</v>
      </c>
      <c r="X121" s="15" t="str">
        <f>+IF(B121="","",Resumen!$C$34)</f>
        <v/>
      </c>
      <c r="Y121" s="16">
        <f t="shared" si="17"/>
        <v>0</v>
      </c>
      <c r="Z121" s="20">
        <f t="shared" si="24"/>
        <v>0</v>
      </c>
      <c r="AA121" s="20">
        <f t="shared" si="25"/>
        <v>0</v>
      </c>
      <c r="AB121" s="20">
        <f>+IF(Resumen!$C$8="no",0,W121*((1+10%)^(0.0833333333333333)-1))</f>
        <v>0</v>
      </c>
    </row>
    <row r="122" spans="1:28" x14ac:dyDescent="0.35">
      <c r="A122">
        <f t="shared" si="26"/>
        <v>121</v>
      </c>
      <c r="B122" t="str">
        <f>+IF(A122&gt;Resumen!$C$40,"",A122)</f>
        <v/>
      </c>
      <c r="C122" s="1">
        <f>+IFERROR(HLOOKUP($B122,Resumen!$F$3:$AM$10,8,0),0)</f>
        <v>0</v>
      </c>
      <c r="D122" s="1">
        <f>+IFERROR(HLOOKUP($B122,Resumen!$F$3:$AM$12,10),0)</f>
        <v>0</v>
      </c>
      <c r="E122" s="1">
        <f>+IF(B122=Resumen!$C$38*6-6,1,0)</f>
        <v>0</v>
      </c>
      <c r="F122" s="1">
        <f>+IFERROR(HLOOKUP($B122,Resumen!$F$3:$AM$14,12),0)</f>
        <v>0</v>
      </c>
      <c r="G122" s="17">
        <f t="shared" si="30"/>
        <v>5.8207660913467407E-11</v>
      </c>
      <c r="H122" s="17">
        <f>IF(X122="",0,IF(F122=0,ROUND(SUM(J$2:J122)*X122,2),0))</f>
        <v>0</v>
      </c>
      <c r="I122" s="17">
        <f t="shared" si="16"/>
        <v>0</v>
      </c>
      <c r="J122" s="17">
        <f>(Resumen!$C$10*(1-Resumen!$C$24)*(1+Incmat)^5)*C122</f>
        <v>0</v>
      </c>
      <c r="K122" s="17">
        <f>+IF(F122=1,PMT(X122,(Resumen!$C$36+Resumen!$C$26+Resumen!$C$14*6-B122+1),-Amortizacion!G122),0)</f>
        <v>0</v>
      </c>
      <c r="L122" s="17">
        <f t="shared" si="18"/>
        <v>0</v>
      </c>
      <c r="M122" s="17">
        <f>+IF(Resumen!$C$20="no",H122,0)</f>
        <v>0</v>
      </c>
      <c r="N122" s="17">
        <f t="shared" si="19"/>
        <v>5.8207660913467407E-11</v>
      </c>
      <c r="O122" s="17">
        <f>+IF(AND(Resumen!$C$18="SI",Amortizacion!E122=1),SUM($H$2:J122)*25%,0)</f>
        <v>0</v>
      </c>
      <c r="P122" s="1">
        <f t="shared" si="27"/>
        <v>0</v>
      </c>
      <c r="Q122" s="17">
        <f t="shared" si="28"/>
        <v>0</v>
      </c>
      <c r="R122" s="17">
        <f t="shared" si="20"/>
        <v>0</v>
      </c>
      <c r="S122" s="17">
        <f>(Resumen!$C$10*(Resumen!$C$24)*(1+Incmat)^5)*$C122</f>
        <v>0</v>
      </c>
      <c r="T122" s="21">
        <f t="shared" si="21"/>
        <v>0</v>
      </c>
      <c r="U122" s="17">
        <f t="shared" si="22"/>
        <v>0</v>
      </c>
      <c r="V122" s="17">
        <f t="shared" si="23"/>
        <v>0</v>
      </c>
      <c r="W122" s="17">
        <f t="shared" si="29"/>
        <v>5.8207660913467407E-11</v>
      </c>
      <c r="X122" s="15" t="str">
        <f>+IF(B122="","",Resumen!$C$34)</f>
        <v/>
      </c>
      <c r="Y122" s="16">
        <f t="shared" si="17"/>
        <v>0</v>
      </c>
      <c r="Z122" s="20">
        <f t="shared" si="24"/>
        <v>0</v>
      </c>
      <c r="AA122" s="20">
        <f t="shared" si="25"/>
        <v>0</v>
      </c>
      <c r="AB122" s="20">
        <f>+IF(Resumen!$C$8="no",0,W122*((1+10%)^(0.0833333333333333)-1))</f>
        <v>0</v>
      </c>
    </row>
    <row r="123" spans="1:28" x14ac:dyDescent="0.35">
      <c r="A123">
        <f t="shared" si="26"/>
        <v>122</v>
      </c>
      <c r="B123" t="str">
        <f>+IF(A123&gt;Resumen!$C$40,"",A123)</f>
        <v/>
      </c>
      <c r="C123" s="1">
        <f>+IFERROR(HLOOKUP($B123,Resumen!$F$3:$AM$10,8,0),0)</f>
        <v>0</v>
      </c>
      <c r="D123" s="1">
        <f>+IFERROR(HLOOKUP($B123,Resumen!$F$3:$AM$12,10),0)</f>
        <v>0</v>
      </c>
      <c r="E123" s="1">
        <f>+IF(B123=Resumen!$C$38*6-6,1,0)</f>
        <v>0</v>
      </c>
      <c r="F123" s="1">
        <f>+IFERROR(HLOOKUP($B123,Resumen!$F$3:$AM$14,12),0)</f>
        <v>0</v>
      </c>
      <c r="G123" s="17">
        <f t="shared" si="30"/>
        <v>5.8207660913467407E-11</v>
      </c>
      <c r="H123" s="17">
        <f>IF(X123="",0,IF(F123=0,ROUND(SUM(J$2:J123)*X123,2),0))</f>
        <v>0</v>
      </c>
      <c r="I123" s="17">
        <f t="shared" si="16"/>
        <v>0</v>
      </c>
      <c r="J123" s="17">
        <f>(Resumen!$C$10*(1-Resumen!$C$24)*(1+Incmat)^5)*C123</f>
        <v>0</v>
      </c>
      <c r="K123" s="17">
        <f>+IF(F123=1,PMT(X123,(Resumen!$C$36+Resumen!$C$26+Resumen!$C$14*6-B123+1),-Amortizacion!G123),0)</f>
        <v>0</v>
      </c>
      <c r="L123" s="17">
        <f t="shared" si="18"/>
        <v>0</v>
      </c>
      <c r="M123" s="17">
        <f>+IF(Resumen!$C$20="no",H123,0)</f>
        <v>0</v>
      </c>
      <c r="N123" s="17">
        <f t="shared" si="19"/>
        <v>5.8207660913467407E-11</v>
      </c>
      <c r="O123" s="17">
        <f>+IF(AND(Resumen!$C$18="SI",Amortizacion!E123=1),SUM($H$2:J123)*25%,0)</f>
        <v>0</v>
      </c>
      <c r="P123" s="1">
        <f t="shared" si="27"/>
        <v>0</v>
      </c>
      <c r="Q123" s="17">
        <f t="shared" si="28"/>
        <v>0</v>
      </c>
      <c r="R123" s="17">
        <f t="shared" si="20"/>
        <v>0</v>
      </c>
      <c r="S123" s="17">
        <f>(Resumen!$C$10*(Resumen!$C$24)*(1+Incmat)^5)*$C123</f>
        <v>0</v>
      </c>
      <c r="T123" s="21">
        <f t="shared" si="21"/>
        <v>0</v>
      </c>
      <c r="U123" s="17">
        <f t="shared" si="22"/>
        <v>0</v>
      </c>
      <c r="V123" s="17">
        <f t="shared" si="23"/>
        <v>0</v>
      </c>
      <c r="W123" s="17">
        <f t="shared" si="29"/>
        <v>5.8207660913467407E-11</v>
      </c>
      <c r="X123" s="15" t="str">
        <f>+IF(B123="","",Resumen!$C$34)</f>
        <v/>
      </c>
      <c r="Y123" s="16">
        <f t="shared" si="17"/>
        <v>0</v>
      </c>
      <c r="Z123" s="20">
        <f t="shared" si="24"/>
        <v>0</v>
      </c>
      <c r="AA123" s="20">
        <f t="shared" si="25"/>
        <v>0</v>
      </c>
      <c r="AB123" s="20">
        <f>+IF(Resumen!$C$8="no",0,W123*((1+10%)^(0.0833333333333333)-1))</f>
        <v>0</v>
      </c>
    </row>
    <row r="124" spans="1:28" x14ac:dyDescent="0.35">
      <c r="A124">
        <f t="shared" si="26"/>
        <v>123</v>
      </c>
      <c r="B124" t="str">
        <f>+IF(A124&gt;Resumen!$C$40,"",A124)</f>
        <v/>
      </c>
      <c r="C124" s="1">
        <f>+IFERROR(HLOOKUP($B124,Resumen!$F$3:$AM$10,8,0),0)</f>
        <v>0</v>
      </c>
      <c r="D124" s="1">
        <f>+IFERROR(HLOOKUP($B124,Resumen!$F$3:$AM$12,10),0)</f>
        <v>0</v>
      </c>
      <c r="E124" s="1">
        <f>+IF(B124=Resumen!$C$38*6-6,1,0)</f>
        <v>0</v>
      </c>
      <c r="F124" s="1">
        <f>+IFERROR(HLOOKUP($B124,Resumen!$F$3:$AM$14,12),0)</f>
        <v>0</v>
      </c>
      <c r="G124" s="17">
        <f t="shared" si="30"/>
        <v>5.8207660913467407E-11</v>
      </c>
      <c r="H124" s="17">
        <f>IF(X124="",0,IF(F124=0,ROUND(SUM(J$2:J124)*X124,2),0))</f>
        <v>0</v>
      </c>
      <c r="I124" s="17">
        <f t="shared" si="16"/>
        <v>0</v>
      </c>
      <c r="J124" s="17">
        <f>(Resumen!$C$10*(1-Resumen!$C$24)*(1+Incmat)^5)*C124</f>
        <v>0</v>
      </c>
      <c r="K124" s="17">
        <f>+IF(F124=1,PMT(X124,(Resumen!$C$36+Resumen!$C$26+Resumen!$C$14*6-B124+1),-Amortizacion!G124),0)</f>
        <v>0</v>
      </c>
      <c r="L124" s="17">
        <f t="shared" si="18"/>
        <v>0</v>
      </c>
      <c r="M124" s="17">
        <f>+IF(Resumen!$C$20="no",H124,0)</f>
        <v>0</v>
      </c>
      <c r="N124" s="17">
        <f t="shared" si="19"/>
        <v>5.8207660913467407E-11</v>
      </c>
      <c r="O124" s="17">
        <f>+IF(AND(Resumen!$C$18="SI",Amortizacion!E124=1),SUM($H$2:J124)*25%,0)</f>
        <v>0</v>
      </c>
      <c r="P124" s="1">
        <f t="shared" si="27"/>
        <v>0</v>
      </c>
      <c r="Q124" s="17">
        <f t="shared" si="28"/>
        <v>0</v>
      </c>
      <c r="R124" s="17">
        <f t="shared" si="20"/>
        <v>0</v>
      </c>
      <c r="S124" s="17">
        <f>(Resumen!$C$10*(Resumen!$C$24)*(1+Incmat)^5)*$C124</f>
        <v>0</v>
      </c>
      <c r="T124" s="21">
        <f t="shared" si="21"/>
        <v>0</v>
      </c>
      <c r="U124" s="17">
        <f t="shared" si="22"/>
        <v>0</v>
      </c>
      <c r="V124" s="17">
        <f t="shared" si="23"/>
        <v>0</v>
      </c>
      <c r="W124" s="17">
        <f t="shared" si="29"/>
        <v>5.8207660913467407E-11</v>
      </c>
      <c r="X124" s="15" t="str">
        <f>+IF(B124="","",Resumen!$C$34)</f>
        <v/>
      </c>
      <c r="Y124" s="16">
        <f t="shared" si="17"/>
        <v>0</v>
      </c>
      <c r="Z124" s="20">
        <f t="shared" si="24"/>
        <v>0</v>
      </c>
      <c r="AA124" s="20">
        <f t="shared" si="25"/>
        <v>0</v>
      </c>
      <c r="AB124" s="20">
        <f>+IF(Resumen!$C$8="no",0,W124*((1+10%)^(0.0833333333333333)-1))</f>
        <v>0</v>
      </c>
    </row>
    <row r="125" spans="1:28" x14ac:dyDescent="0.35">
      <c r="A125">
        <f t="shared" si="26"/>
        <v>124</v>
      </c>
      <c r="B125" t="str">
        <f>+IF(A125&gt;Resumen!$C$40,"",A125)</f>
        <v/>
      </c>
      <c r="C125" s="1">
        <f>+IFERROR(HLOOKUP($B125,Resumen!$F$3:$AM$10,8,0),0)</f>
        <v>0</v>
      </c>
      <c r="D125" s="1">
        <f>+IFERROR(HLOOKUP($B125,Resumen!$F$3:$AM$12,10),0)</f>
        <v>0</v>
      </c>
      <c r="E125" s="1">
        <f>+IF(B125=Resumen!$C$38*6-6,1,0)</f>
        <v>0</v>
      </c>
      <c r="F125" s="1">
        <f>+IFERROR(HLOOKUP($B125,Resumen!$F$3:$AM$14,12),0)</f>
        <v>0</v>
      </c>
      <c r="G125" s="17">
        <f t="shared" si="30"/>
        <v>5.8207660913467407E-11</v>
      </c>
      <c r="H125" s="17">
        <f>IF(X125="",0,IF(F125=0,ROUND(SUM(J$2:J125)*X125,2),0))</f>
        <v>0</v>
      </c>
      <c r="I125" s="17">
        <f t="shared" si="16"/>
        <v>0</v>
      </c>
      <c r="J125" s="17">
        <f>(Resumen!$C$10*(1-Resumen!$C$24)*(1+Incmat)^5)*C125</f>
        <v>0</v>
      </c>
      <c r="K125" s="17">
        <f>+IF(F125=1,PMT(X125,(Resumen!$C$36+Resumen!$C$26+Resumen!$C$14*6-B125+1),-Amortizacion!G125),0)</f>
        <v>0</v>
      </c>
      <c r="L125" s="17">
        <f t="shared" si="18"/>
        <v>0</v>
      </c>
      <c r="M125" s="17">
        <f>+IF(Resumen!$C$20="no",H125,0)</f>
        <v>0</v>
      </c>
      <c r="N125" s="17">
        <f t="shared" si="19"/>
        <v>5.8207660913467407E-11</v>
      </c>
      <c r="O125" s="17">
        <f>+IF(AND(Resumen!$C$18="SI",Amortizacion!E125=1),SUM($H$2:J125)*25%,0)</f>
        <v>0</v>
      </c>
      <c r="P125" s="1">
        <f t="shared" si="27"/>
        <v>0</v>
      </c>
      <c r="Q125" s="17">
        <f t="shared" si="28"/>
        <v>0</v>
      </c>
      <c r="R125" s="17">
        <f t="shared" si="20"/>
        <v>0</v>
      </c>
      <c r="S125" s="17">
        <f>(Resumen!$C$10*(Resumen!$C$24)*(1+Incmat)^5)*$C125</f>
        <v>0</v>
      </c>
      <c r="T125" s="21">
        <f t="shared" si="21"/>
        <v>0</v>
      </c>
      <c r="U125" s="17">
        <f t="shared" si="22"/>
        <v>0</v>
      </c>
      <c r="V125" s="17">
        <f t="shared" si="23"/>
        <v>0</v>
      </c>
      <c r="W125" s="17">
        <f t="shared" si="29"/>
        <v>5.8207660913467407E-11</v>
      </c>
      <c r="X125" s="15" t="str">
        <f>+IF(B125="","",Resumen!$C$34)</f>
        <v/>
      </c>
      <c r="Y125" s="16">
        <f t="shared" si="17"/>
        <v>0</v>
      </c>
      <c r="Z125" s="20">
        <f t="shared" si="24"/>
        <v>0</v>
      </c>
      <c r="AA125" s="20">
        <f t="shared" si="25"/>
        <v>0</v>
      </c>
      <c r="AB125" s="20">
        <f>+IF(Resumen!$C$8="no",0,W125*((1+10%)^(0.0833333333333333)-1))</f>
        <v>0</v>
      </c>
    </row>
    <row r="126" spans="1:28" x14ac:dyDescent="0.35">
      <c r="A126">
        <f t="shared" si="26"/>
        <v>125</v>
      </c>
      <c r="B126" t="str">
        <f>+IF(A126&gt;Resumen!$C$40,"",A126)</f>
        <v/>
      </c>
      <c r="C126" s="1">
        <f>+IFERROR(HLOOKUP($B126,Resumen!$F$3:$AM$10,8,0),0)</f>
        <v>0</v>
      </c>
      <c r="D126" s="1">
        <f>+IFERROR(HLOOKUP($B126,Resumen!$F$3:$AM$12,10),0)</f>
        <v>0</v>
      </c>
      <c r="E126" s="1">
        <f>+IF(B126=Resumen!$C$38*6-6,1,0)</f>
        <v>0</v>
      </c>
      <c r="F126" s="1">
        <f>+IFERROR(HLOOKUP($B126,Resumen!$F$3:$AM$14,12),0)</f>
        <v>0</v>
      </c>
      <c r="G126" s="17">
        <f t="shared" si="30"/>
        <v>5.8207660913467407E-11</v>
      </c>
      <c r="H126" s="17">
        <f>IF(X126="",0,IF(F126=0,ROUND(SUM(J$2:J126)*X126,2),0))</f>
        <v>0</v>
      </c>
      <c r="I126" s="17">
        <f t="shared" si="16"/>
        <v>0</v>
      </c>
      <c r="J126" s="17">
        <f>(Resumen!$C$10*(1-Resumen!$C$24)*(1+Incmat)^5)*C126</f>
        <v>0</v>
      </c>
      <c r="K126" s="17">
        <f>+IF(F126=1,PMT(X126,(Resumen!$C$36+Resumen!$C$26+Resumen!$C$14*6-B126+1),-Amortizacion!G126),0)</f>
        <v>0</v>
      </c>
      <c r="L126" s="17">
        <f t="shared" si="18"/>
        <v>0</v>
      </c>
      <c r="M126" s="17">
        <f>+IF(Resumen!$C$20="no",H126,0)</f>
        <v>0</v>
      </c>
      <c r="N126" s="17">
        <f t="shared" si="19"/>
        <v>5.8207660913467407E-11</v>
      </c>
      <c r="O126" s="17">
        <f>+IF(AND(Resumen!$C$18="SI",Amortizacion!E126=1),SUM($H$2:J126)*25%,0)</f>
        <v>0</v>
      </c>
      <c r="P126" s="1">
        <f t="shared" si="27"/>
        <v>0</v>
      </c>
      <c r="Q126" s="17">
        <f t="shared" si="28"/>
        <v>0</v>
      </c>
      <c r="R126" s="17">
        <f t="shared" si="20"/>
        <v>0</v>
      </c>
      <c r="S126" s="17">
        <f>(Resumen!$C$10*(Resumen!$C$24)*(1+Incmat)^5)*$C126</f>
        <v>0</v>
      </c>
      <c r="T126" s="21">
        <f t="shared" si="21"/>
        <v>0</v>
      </c>
      <c r="U126" s="17">
        <f t="shared" si="22"/>
        <v>0</v>
      </c>
      <c r="V126" s="17">
        <f t="shared" si="23"/>
        <v>0</v>
      </c>
      <c r="W126" s="17">
        <f t="shared" si="29"/>
        <v>5.8207660913467407E-11</v>
      </c>
      <c r="X126" s="15" t="str">
        <f>+IF(B126="","",Resumen!$C$34)</f>
        <v/>
      </c>
      <c r="Y126" s="16">
        <f t="shared" si="17"/>
        <v>0</v>
      </c>
      <c r="Z126" s="20">
        <f t="shared" si="24"/>
        <v>0</v>
      </c>
      <c r="AA126" s="20">
        <f t="shared" si="25"/>
        <v>0</v>
      </c>
      <c r="AB126" s="20">
        <f>+IF(Resumen!$C$8="no",0,W126*((1+10%)^(0.0833333333333333)-1))</f>
        <v>0</v>
      </c>
    </row>
    <row r="127" spans="1:28" x14ac:dyDescent="0.35">
      <c r="A127">
        <f t="shared" si="26"/>
        <v>126</v>
      </c>
      <c r="B127" t="str">
        <f>+IF(A127&gt;Resumen!$C$40,"",A127)</f>
        <v/>
      </c>
      <c r="C127" s="1">
        <f>+IFERROR(HLOOKUP($B127,Resumen!$F$3:$AM$10,8,0),0)</f>
        <v>0</v>
      </c>
      <c r="D127" s="1">
        <f>+IFERROR(HLOOKUP($B127,Resumen!$F$3:$AM$12,10),0)</f>
        <v>0</v>
      </c>
      <c r="E127" s="1">
        <f>+IF(B127=Resumen!$C$38*6-6,1,0)</f>
        <v>0</v>
      </c>
      <c r="F127" s="1">
        <f>+IFERROR(HLOOKUP($B127,Resumen!$F$3:$AM$14,12),0)</f>
        <v>0</v>
      </c>
      <c r="G127" s="17">
        <f t="shared" si="30"/>
        <v>5.8207660913467407E-11</v>
      </c>
      <c r="H127" s="17">
        <f>IF(X127="",0,IF(F127=0,ROUND(SUM(J$2:J127)*X127,2),0))</f>
        <v>0</v>
      </c>
      <c r="I127" s="17">
        <f t="shared" si="16"/>
        <v>0</v>
      </c>
      <c r="J127" s="17">
        <f>(Resumen!$C$10*(1-Resumen!$C$24)*(1+Incmat)^5)*C127</f>
        <v>0</v>
      </c>
      <c r="K127" s="17">
        <f>+IF(F127=1,PMT(X127,(Resumen!$C$36+Resumen!$C$26+Resumen!$C$14*6-B127+1),-Amortizacion!G127),0)</f>
        <v>0</v>
      </c>
      <c r="L127" s="17">
        <f t="shared" si="18"/>
        <v>0</v>
      </c>
      <c r="M127" s="17">
        <f>+IF(Resumen!$C$20="no",H127,0)</f>
        <v>0</v>
      </c>
      <c r="N127" s="17">
        <f t="shared" si="19"/>
        <v>5.8207660913467407E-11</v>
      </c>
      <c r="O127" s="17">
        <f>+IF(AND(Resumen!$C$18="SI",Amortizacion!E127=1),SUM($H$2:J127)*25%,0)</f>
        <v>0</v>
      </c>
      <c r="P127" s="1">
        <f t="shared" si="27"/>
        <v>0</v>
      </c>
      <c r="Q127" s="17">
        <f t="shared" si="28"/>
        <v>0</v>
      </c>
      <c r="R127" s="17">
        <f t="shared" si="20"/>
        <v>0</v>
      </c>
      <c r="S127" s="17">
        <f>(Resumen!$C$10*(Resumen!$C$24)*(1+Incmat)^5)*$C127</f>
        <v>0</v>
      </c>
      <c r="T127" s="21">
        <f t="shared" si="21"/>
        <v>0</v>
      </c>
      <c r="U127" s="17">
        <f t="shared" si="22"/>
        <v>0</v>
      </c>
      <c r="V127" s="17">
        <f t="shared" si="23"/>
        <v>0</v>
      </c>
      <c r="W127" s="17">
        <f t="shared" si="29"/>
        <v>5.8207660913467407E-11</v>
      </c>
      <c r="X127" s="15" t="str">
        <f>+IF(B127="","",Resumen!$C$34)</f>
        <v/>
      </c>
      <c r="Y127" s="16">
        <f t="shared" si="17"/>
        <v>0</v>
      </c>
      <c r="Z127" s="20">
        <f t="shared" si="24"/>
        <v>0</v>
      </c>
      <c r="AA127" s="20">
        <f t="shared" si="25"/>
        <v>0</v>
      </c>
      <c r="AB127" s="20">
        <f>+IF(Resumen!$C$8="no",0,W127*((1+10%)^(0.0833333333333333)-1))</f>
        <v>0</v>
      </c>
    </row>
    <row r="128" spans="1:28" x14ac:dyDescent="0.35">
      <c r="A128">
        <f t="shared" si="26"/>
        <v>127</v>
      </c>
      <c r="B128" t="str">
        <f>+IF(A128&gt;Resumen!$C$40,"",A128)</f>
        <v/>
      </c>
      <c r="C128" s="1">
        <f>+IFERROR(HLOOKUP($B128,Resumen!$F$3:$AM$10,8,0),0)</f>
        <v>0</v>
      </c>
      <c r="D128" s="1">
        <f>+IFERROR(HLOOKUP($B128,Resumen!$F$3:$AM$12,10),0)</f>
        <v>0</v>
      </c>
      <c r="E128" s="1">
        <f>+IF(B128=Resumen!$C$38*6-6,1,0)</f>
        <v>0</v>
      </c>
      <c r="F128" s="1">
        <f>+IFERROR(HLOOKUP($B128,Resumen!$F$3:$AM$14,12),0)</f>
        <v>0</v>
      </c>
      <c r="G128" s="17">
        <f t="shared" si="30"/>
        <v>5.8207660913467407E-11</v>
      </c>
      <c r="H128" s="17">
        <f>IF(X128="",0,IF(F128=0,ROUND(SUM(J$2:J128)*X128,2),0))</f>
        <v>0</v>
      </c>
      <c r="I128" s="17">
        <f t="shared" si="16"/>
        <v>0</v>
      </c>
      <c r="J128" s="17">
        <f>(Resumen!$C$10*(1-Resumen!$C$24)*(1+Incmat)^5)*C128</f>
        <v>0</v>
      </c>
      <c r="K128" s="17">
        <f>+IF(F128=1,PMT(X128,(Resumen!$C$36+Resumen!$C$26+Resumen!$C$14*6-B128+1),-Amortizacion!G128),0)</f>
        <v>0</v>
      </c>
      <c r="L128" s="17">
        <f t="shared" si="18"/>
        <v>0</v>
      </c>
      <c r="M128" s="17">
        <f>+IF(Resumen!$C$20="no",H128,0)</f>
        <v>0</v>
      </c>
      <c r="N128" s="17">
        <f t="shared" si="19"/>
        <v>5.8207660913467407E-11</v>
      </c>
      <c r="O128" s="17">
        <f>+IF(AND(Resumen!$C$18="SI",Amortizacion!E128=1),SUM($H$2:J128)*25%,0)</f>
        <v>0</v>
      </c>
      <c r="P128" s="1">
        <f t="shared" si="27"/>
        <v>0</v>
      </c>
      <c r="Q128" s="17">
        <f t="shared" si="28"/>
        <v>0</v>
      </c>
      <c r="R128" s="17">
        <f t="shared" si="20"/>
        <v>0</v>
      </c>
      <c r="S128" s="17">
        <f>(Resumen!$C$10*(Resumen!$C$24)*(1+Incmat)^5)*$C128</f>
        <v>0</v>
      </c>
      <c r="T128" s="21">
        <f t="shared" si="21"/>
        <v>0</v>
      </c>
      <c r="U128" s="17">
        <f t="shared" si="22"/>
        <v>0</v>
      </c>
      <c r="V128" s="17">
        <f t="shared" si="23"/>
        <v>0</v>
      </c>
      <c r="W128" s="17">
        <f t="shared" si="29"/>
        <v>5.8207660913467407E-11</v>
      </c>
      <c r="X128" s="15" t="str">
        <f>+IF(B128="","",Resumen!$C$34)</f>
        <v/>
      </c>
      <c r="Y128" s="16">
        <f t="shared" si="17"/>
        <v>0</v>
      </c>
      <c r="Z128" s="20">
        <f t="shared" si="24"/>
        <v>0</v>
      </c>
      <c r="AA128" s="20">
        <f t="shared" si="25"/>
        <v>0</v>
      </c>
      <c r="AB128" s="20">
        <f>+IF(Resumen!$C$8="no",0,W128*((1+10%)^(0.0833333333333333)-1))</f>
        <v>0</v>
      </c>
    </row>
    <row r="129" spans="1:28" x14ac:dyDescent="0.35">
      <c r="A129">
        <f t="shared" si="26"/>
        <v>128</v>
      </c>
      <c r="B129" t="str">
        <f>+IF(A129&gt;Resumen!$C$40,"",A129)</f>
        <v/>
      </c>
      <c r="C129" s="1">
        <f>+IFERROR(HLOOKUP($B129,Resumen!$F$3:$AM$10,8,0),0)</f>
        <v>0</v>
      </c>
      <c r="D129" s="1">
        <f>+IFERROR(HLOOKUP($B129,Resumen!$F$3:$AM$12,10),0)</f>
        <v>0</v>
      </c>
      <c r="E129" s="1">
        <f>+IF(B129=Resumen!$C$38*6-6,1,0)</f>
        <v>0</v>
      </c>
      <c r="F129" s="1">
        <f>+IFERROR(HLOOKUP($B129,Resumen!$F$3:$AM$14,12),0)</f>
        <v>0</v>
      </c>
      <c r="G129" s="17">
        <f t="shared" si="30"/>
        <v>5.8207660913467407E-11</v>
      </c>
      <c r="H129" s="17">
        <f>IF(X129="",0,IF(F129=0,ROUND(SUM(J$2:J129)*X129,2),0))</f>
        <v>0</v>
      </c>
      <c r="I129" s="17">
        <f t="shared" si="16"/>
        <v>0</v>
      </c>
      <c r="J129" s="17">
        <f>(Resumen!$C$10*(1-Resumen!$C$24)*(1+Incmat)^5)*C129</f>
        <v>0</v>
      </c>
      <c r="K129" s="17">
        <f>+IF(F129=1,PMT(X129,(Resumen!$C$36+Resumen!$C$26+Resumen!$C$14*6-B129+1),-Amortizacion!G129),0)</f>
        <v>0</v>
      </c>
      <c r="L129" s="17">
        <f t="shared" si="18"/>
        <v>0</v>
      </c>
      <c r="M129" s="17">
        <f>+IF(Resumen!$C$20="no",H129,0)</f>
        <v>0</v>
      </c>
      <c r="N129" s="17">
        <f t="shared" si="19"/>
        <v>5.8207660913467407E-11</v>
      </c>
      <c r="O129" s="17">
        <f>+IF(AND(Resumen!$C$18="SI",Amortizacion!E129=1),SUM($H$2:J129)*25%,0)</f>
        <v>0</v>
      </c>
      <c r="P129" s="1">
        <f t="shared" si="27"/>
        <v>0</v>
      </c>
      <c r="Q129" s="17">
        <f t="shared" si="28"/>
        <v>0</v>
      </c>
      <c r="R129" s="17">
        <f t="shared" si="20"/>
        <v>0</v>
      </c>
      <c r="S129" s="17">
        <f>(Resumen!$C$10*(Resumen!$C$24)*(1+Incmat)^5)*$C129</f>
        <v>0</v>
      </c>
      <c r="T129" s="21">
        <f t="shared" si="21"/>
        <v>0</v>
      </c>
      <c r="U129" s="17">
        <f t="shared" si="22"/>
        <v>0</v>
      </c>
      <c r="V129" s="17">
        <f t="shared" si="23"/>
        <v>0</v>
      </c>
      <c r="W129" s="17">
        <f t="shared" si="29"/>
        <v>5.8207660913467407E-11</v>
      </c>
      <c r="X129" s="15" t="str">
        <f>+IF(B129="","",Resumen!$C$34)</f>
        <v/>
      </c>
      <c r="Y129" s="16">
        <f t="shared" si="17"/>
        <v>0</v>
      </c>
      <c r="Z129" s="20">
        <f t="shared" si="24"/>
        <v>0</v>
      </c>
      <c r="AA129" s="20">
        <f t="shared" si="25"/>
        <v>0</v>
      </c>
      <c r="AB129" s="20">
        <f>+IF(Resumen!$C$8="no",0,W129*((1+10%)^(0.0833333333333333)-1))</f>
        <v>0</v>
      </c>
    </row>
    <row r="130" spans="1:28" x14ac:dyDescent="0.35">
      <c r="A130">
        <f t="shared" si="26"/>
        <v>129</v>
      </c>
      <c r="B130" t="str">
        <f>+IF(A130&gt;Resumen!$C$40,"",A130)</f>
        <v/>
      </c>
      <c r="C130" s="1">
        <f>+IFERROR(HLOOKUP($B130,Resumen!$F$3:$AM$10,8,0),0)</f>
        <v>0</v>
      </c>
      <c r="D130" s="1">
        <f>+IFERROR(HLOOKUP($B130,Resumen!$F$3:$AM$12,10),0)</f>
        <v>0</v>
      </c>
      <c r="E130" s="1">
        <f>+IF(B130=Resumen!$C$38*6-6,1,0)</f>
        <v>0</v>
      </c>
      <c r="F130" s="1">
        <f>+IFERROR(HLOOKUP($B130,Resumen!$F$3:$AM$14,12),0)</f>
        <v>0</v>
      </c>
      <c r="G130" s="17">
        <f t="shared" si="30"/>
        <v>5.8207660913467407E-11</v>
      </c>
      <c r="H130" s="17">
        <f>IF(X130="",0,IF(F130=0,ROUND(SUM(J$2:J130)*X130,2),0))</f>
        <v>0</v>
      </c>
      <c r="I130" s="17">
        <f t="shared" ref="I130:I193" si="31">+IF(X130="",0,IF(F130=1,G130*X130,0))</f>
        <v>0</v>
      </c>
      <c r="J130" s="17">
        <f>(Resumen!$C$10*(1-Resumen!$C$24)*(1+Incmat)^5)*C130</f>
        <v>0</v>
      </c>
      <c r="K130" s="17">
        <f>+IF(F130=1,PMT(X130,(Resumen!$C$36+Resumen!$C$26+Resumen!$C$14*6-B130+1),-Amortizacion!G130),0)</f>
        <v>0</v>
      </c>
      <c r="L130" s="17">
        <f t="shared" si="18"/>
        <v>0</v>
      </c>
      <c r="M130" s="17">
        <f>+IF(Resumen!$C$20="no",H130,0)</f>
        <v>0</v>
      </c>
      <c r="N130" s="17">
        <f t="shared" si="19"/>
        <v>5.8207660913467407E-11</v>
      </c>
      <c r="O130" s="17">
        <f>+IF(AND(Resumen!$C$18="SI",Amortizacion!E130=1),SUM($H$2:J130)*25%,0)</f>
        <v>0</v>
      </c>
      <c r="P130" s="1">
        <f t="shared" si="27"/>
        <v>0</v>
      </c>
      <c r="Q130" s="17">
        <f t="shared" si="28"/>
        <v>0</v>
      </c>
      <c r="R130" s="17">
        <f t="shared" si="20"/>
        <v>0</v>
      </c>
      <c r="S130" s="17">
        <f>(Resumen!$C$10*(Resumen!$C$24)*(1+Incmat)^5)*$C130</f>
        <v>0</v>
      </c>
      <c r="T130" s="21">
        <f t="shared" si="21"/>
        <v>0</v>
      </c>
      <c r="U130" s="17">
        <f t="shared" si="22"/>
        <v>0</v>
      </c>
      <c r="V130" s="17">
        <f t="shared" si="23"/>
        <v>0</v>
      </c>
      <c r="W130" s="17">
        <f t="shared" si="29"/>
        <v>5.8207660913467407E-11</v>
      </c>
      <c r="X130" s="15" t="str">
        <f>+IF(B130="","",Resumen!$C$34)</f>
        <v/>
      </c>
      <c r="Y130" s="16">
        <f t="shared" ref="Y130:Y193" si="32">+J130+S130</f>
        <v>0</v>
      </c>
      <c r="Z130" s="20">
        <f t="shared" si="24"/>
        <v>0</v>
      </c>
      <c r="AA130" s="20">
        <f t="shared" si="25"/>
        <v>0</v>
      </c>
      <c r="AB130" s="20">
        <f>+IF(Resumen!$C$8="no",0,W130*((1+10%)^(0.0833333333333333)-1))</f>
        <v>0</v>
      </c>
    </row>
    <row r="131" spans="1:28" x14ac:dyDescent="0.35">
      <c r="A131">
        <f t="shared" si="26"/>
        <v>130</v>
      </c>
      <c r="B131" t="str">
        <f>+IF(A131&gt;Resumen!$C$40,"",A131)</f>
        <v/>
      </c>
      <c r="C131" s="1">
        <f>+IFERROR(HLOOKUP($B131,Resumen!$F$3:$AM$10,8,0),0)</f>
        <v>0</v>
      </c>
      <c r="D131" s="1">
        <f>+IFERROR(HLOOKUP($B131,Resumen!$F$3:$AM$12,10),0)</f>
        <v>0</v>
      </c>
      <c r="E131" s="1">
        <f>+IF(B131=Resumen!$C$38*6-6,1,0)</f>
        <v>0</v>
      </c>
      <c r="F131" s="1">
        <f>+IFERROR(HLOOKUP($B131,Resumen!$F$3:$AM$14,12),0)</f>
        <v>0</v>
      </c>
      <c r="G131" s="17">
        <f t="shared" si="30"/>
        <v>5.8207660913467407E-11</v>
      </c>
      <c r="H131" s="17">
        <f>IF(X131="",0,IF(F131=0,ROUND(SUM(J$2:J131)*X131,2),0))</f>
        <v>0</v>
      </c>
      <c r="I131" s="17">
        <f t="shared" si="31"/>
        <v>0</v>
      </c>
      <c r="J131" s="17">
        <f>(Resumen!$C$10*(1-Resumen!$C$24)*(1+Incmat)^5)*C131</f>
        <v>0</v>
      </c>
      <c r="K131" s="17">
        <f>+IF(F131=1,PMT(X131,(Resumen!$C$36+Resumen!$C$26+Resumen!$C$14*6-B131+1),-Amortizacion!G131),0)</f>
        <v>0</v>
      </c>
      <c r="L131" s="17">
        <f t="shared" ref="L131:L194" si="33">+IF(I131="","",K131-I131)</f>
        <v>0</v>
      </c>
      <c r="M131" s="17">
        <f>+IF(Resumen!$C$20="no",H131,0)</f>
        <v>0</v>
      </c>
      <c r="N131" s="17">
        <f t="shared" ref="N131:N194" si="34">+IF(F131=0,SUM(G131:K131)-M131,G131-L131)</f>
        <v>5.8207660913467407E-11</v>
      </c>
      <c r="O131" s="17">
        <f>+IF(AND(Resumen!$C$18="SI",Amortizacion!E131=1),SUM($H$2:J131)*25%,0)</f>
        <v>0</v>
      </c>
      <c r="P131" s="1">
        <f t="shared" si="27"/>
        <v>0</v>
      </c>
      <c r="Q131" s="17">
        <f t="shared" si="28"/>
        <v>0</v>
      </c>
      <c r="R131" s="17">
        <f t="shared" ref="R131:R194" si="35">+IF(X131="",0,Q131*X131)</f>
        <v>0</v>
      </c>
      <c r="S131" s="17">
        <f>(Resumen!$C$10*(Resumen!$C$24)*(1+Incmat)^5)*$C131</f>
        <v>0</v>
      </c>
      <c r="T131" s="21">
        <f t="shared" ref="T131:T194" si="36">+IF(X131="",0,IFERROR(PMT(X131,P131,-Q131),0))</f>
        <v>0</v>
      </c>
      <c r="U131" s="17">
        <f t="shared" ref="U131:U194" si="37">+IFERROR(T131-R131,0)</f>
        <v>0</v>
      </c>
      <c r="V131" s="17">
        <f t="shared" ref="V131:V194" si="38">+Q131-U131</f>
        <v>0</v>
      </c>
      <c r="W131" s="17">
        <f t="shared" si="29"/>
        <v>5.8207660913467407E-11</v>
      </c>
      <c r="X131" s="15" t="str">
        <f>+IF(B131="","",Resumen!$C$34)</f>
        <v/>
      </c>
      <c r="Y131" s="16">
        <f t="shared" si="32"/>
        <v>0</v>
      </c>
      <c r="Z131" s="20">
        <f t="shared" ref="Z131:Z194" si="39">+T131+K131+M131</f>
        <v>0</v>
      </c>
      <c r="AA131" s="20">
        <f t="shared" ref="AA131:AA194" si="40">+R131+M131+I131</f>
        <v>0</v>
      </c>
      <c r="AB131" s="20">
        <f>+IF(Resumen!$C$8="no",0,W131*((1+10%)^(0.0833333333333333)-1))</f>
        <v>0</v>
      </c>
    </row>
    <row r="132" spans="1:28" x14ac:dyDescent="0.35">
      <c r="A132">
        <f t="shared" ref="A132:A195" si="41">+A131+1</f>
        <v>131</v>
      </c>
      <c r="B132" t="str">
        <f>+IF(A132&gt;Resumen!$C$40,"",A132)</f>
        <v/>
      </c>
      <c r="C132" s="1">
        <f>+IFERROR(HLOOKUP($B132,Resumen!$F$3:$AM$10,8,0),0)</f>
        <v>0</v>
      </c>
      <c r="D132" s="1">
        <f>+IFERROR(HLOOKUP($B132,Resumen!$F$3:$AM$12,10),0)</f>
        <v>0</v>
      </c>
      <c r="E132" s="1">
        <f>+IF(B132=Resumen!$C$38*6-6,1,0)</f>
        <v>0</v>
      </c>
      <c r="F132" s="1">
        <f>+IFERROR(HLOOKUP($B132,Resumen!$F$3:$AM$14,12),0)</f>
        <v>0</v>
      </c>
      <c r="G132" s="17">
        <f t="shared" si="30"/>
        <v>5.8207660913467407E-11</v>
      </c>
      <c r="H132" s="17">
        <f>IF(X132="",0,IF(F132=0,ROUND(SUM(J$2:J132)*X132,2),0))</f>
        <v>0</v>
      </c>
      <c r="I132" s="17">
        <f t="shared" si="31"/>
        <v>0</v>
      </c>
      <c r="J132" s="17">
        <f>(Resumen!$C$10*(1-Resumen!$C$24)*(1+Incmat)^5)*C132</f>
        <v>0</v>
      </c>
      <c r="K132" s="17">
        <f>+IF(F132=1,PMT(X132,(Resumen!$C$36+Resumen!$C$26+Resumen!$C$14*6-B132+1),-Amortizacion!G132),0)</f>
        <v>0</v>
      </c>
      <c r="L132" s="17">
        <f t="shared" si="33"/>
        <v>0</v>
      </c>
      <c r="M132" s="17">
        <f>+IF(Resumen!$C$20="no",H132,0)</f>
        <v>0</v>
      </c>
      <c r="N132" s="17">
        <f t="shared" si="34"/>
        <v>5.8207660913467407E-11</v>
      </c>
      <c r="O132" s="17">
        <f>+IF(AND(Resumen!$C$18="SI",Amortizacion!E132=1),SUM($H$2:J132)*25%,0)</f>
        <v>0</v>
      </c>
      <c r="P132" s="1">
        <f t="shared" ref="P132:P195" si="42">+IF(S132&lt;&gt;0,6,IF(P131=0,0,P131-1))</f>
        <v>0</v>
      </c>
      <c r="Q132" s="17">
        <f t="shared" ref="Q132:Q195" si="43">+V131+S132</f>
        <v>0</v>
      </c>
      <c r="R132" s="17">
        <f t="shared" si="35"/>
        <v>0</v>
      </c>
      <c r="S132" s="17">
        <f>(Resumen!$C$10*(Resumen!$C$24)*(1+Incmat)^5)*$C132</f>
        <v>0</v>
      </c>
      <c r="T132" s="21">
        <f t="shared" si="36"/>
        <v>0</v>
      </c>
      <c r="U132" s="17">
        <f t="shared" si="37"/>
        <v>0</v>
      </c>
      <c r="V132" s="17">
        <f t="shared" si="38"/>
        <v>0</v>
      </c>
      <c r="W132" s="17">
        <f t="shared" ref="W132:W195" si="44">+N132+V132</f>
        <v>5.8207660913467407E-11</v>
      </c>
      <c r="X132" s="15" t="str">
        <f>+IF(B132="","",Resumen!$C$34)</f>
        <v/>
      </c>
      <c r="Y132" s="16">
        <f t="shared" si="32"/>
        <v>0</v>
      </c>
      <c r="Z132" s="20">
        <f t="shared" si="39"/>
        <v>0</v>
      </c>
      <c r="AA132" s="20">
        <f t="shared" si="40"/>
        <v>0</v>
      </c>
      <c r="AB132" s="20">
        <f>+IF(Resumen!$C$8="no",0,W132*((1+10%)^(0.0833333333333333)-1))</f>
        <v>0</v>
      </c>
    </row>
    <row r="133" spans="1:28" x14ac:dyDescent="0.35">
      <c r="A133">
        <f t="shared" si="41"/>
        <v>132</v>
      </c>
      <c r="B133" t="str">
        <f>+IF(A133&gt;Resumen!$C$40,"",A133)</f>
        <v/>
      </c>
      <c r="C133" s="1">
        <f>+IFERROR(HLOOKUP($B133,Resumen!$F$3:$AM$10,8,0),0)</f>
        <v>0</v>
      </c>
      <c r="D133" s="1">
        <f>+IFERROR(HLOOKUP($B133,Resumen!$F$3:$AM$12,10),0)</f>
        <v>0</v>
      </c>
      <c r="E133" s="1">
        <f>+IF(B133=Resumen!$C$38*6-6,1,0)</f>
        <v>0</v>
      </c>
      <c r="F133" s="1">
        <f>+IFERROR(HLOOKUP($B133,Resumen!$F$3:$AM$14,12),0)</f>
        <v>0</v>
      </c>
      <c r="G133" s="17">
        <f t="shared" si="30"/>
        <v>5.8207660913467407E-11</v>
      </c>
      <c r="H133" s="17">
        <f>IF(X133="",0,IF(F133=0,ROUND(SUM(J$2:J133)*X133,2),0))</f>
        <v>0</v>
      </c>
      <c r="I133" s="17">
        <f t="shared" si="31"/>
        <v>0</v>
      </c>
      <c r="J133" s="17">
        <f>(Resumen!$C$10*(1-Resumen!$C$24)*(1+Incmat)^5)*C133</f>
        <v>0</v>
      </c>
      <c r="K133" s="17">
        <f>+IF(F133=1,PMT(X133,(Resumen!$C$36+Resumen!$C$26+Resumen!$C$14*6-B133+1),-Amortizacion!G133),0)</f>
        <v>0</v>
      </c>
      <c r="L133" s="17">
        <f t="shared" si="33"/>
        <v>0</v>
      </c>
      <c r="M133" s="17">
        <f>+IF(Resumen!$C$20="no",H133,0)</f>
        <v>0</v>
      </c>
      <c r="N133" s="17">
        <f t="shared" si="34"/>
        <v>5.8207660913467407E-11</v>
      </c>
      <c r="O133" s="17">
        <f>+IF(AND(Resumen!$C$18="SI",Amortizacion!E133=1),SUM($H$2:J133)*25%,0)</f>
        <v>0</v>
      </c>
      <c r="P133" s="1">
        <f t="shared" si="42"/>
        <v>0</v>
      </c>
      <c r="Q133" s="17">
        <f t="shared" si="43"/>
        <v>0</v>
      </c>
      <c r="R133" s="17">
        <f t="shared" si="35"/>
        <v>0</v>
      </c>
      <c r="S133" s="17">
        <f>(Resumen!$C$10*(Resumen!$C$24)*(1+Incmat)^5)*$C133</f>
        <v>0</v>
      </c>
      <c r="T133" s="21">
        <f t="shared" si="36"/>
        <v>0</v>
      </c>
      <c r="U133" s="17">
        <f t="shared" si="37"/>
        <v>0</v>
      </c>
      <c r="V133" s="17">
        <f t="shared" si="38"/>
        <v>0</v>
      </c>
      <c r="W133" s="17">
        <f t="shared" si="44"/>
        <v>5.8207660913467407E-11</v>
      </c>
      <c r="X133" s="15" t="str">
        <f>+IF(B133="","",Resumen!$C$34)</f>
        <v/>
      </c>
      <c r="Y133" s="16">
        <f t="shared" si="32"/>
        <v>0</v>
      </c>
      <c r="Z133" s="20">
        <f t="shared" si="39"/>
        <v>0</v>
      </c>
      <c r="AA133" s="20">
        <f t="shared" si="40"/>
        <v>0</v>
      </c>
      <c r="AB133" s="20">
        <f>+IF(Resumen!$C$8="no",0,W133*((1+10%)^(0.0833333333333333)-1))</f>
        <v>0</v>
      </c>
    </row>
    <row r="134" spans="1:28" x14ac:dyDescent="0.35">
      <c r="A134">
        <f t="shared" si="41"/>
        <v>133</v>
      </c>
      <c r="B134" t="str">
        <f>+IF(A134&gt;Resumen!$C$40,"",A134)</f>
        <v/>
      </c>
      <c r="C134" s="1">
        <f>+IFERROR(HLOOKUP($B134,Resumen!$F$3:$AM$10,8,0),0)</f>
        <v>0</v>
      </c>
      <c r="D134" s="1">
        <f>+IFERROR(HLOOKUP($B134,Resumen!$F$3:$AM$12,10),0)</f>
        <v>0</v>
      </c>
      <c r="E134" s="1">
        <f>+IF(B134=Resumen!$C$38*6-6,1,0)</f>
        <v>0</v>
      </c>
      <c r="F134" s="1">
        <f>+IFERROR(HLOOKUP($B134,Resumen!$F$3:$AM$14,12),0)</f>
        <v>0</v>
      </c>
      <c r="G134" s="17">
        <f t="shared" si="30"/>
        <v>5.8207660913467407E-11</v>
      </c>
      <c r="H134" s="17">
        <f>IF(X134="",0,IF(F134=0,ROUND(SUM(J$2:J134)*X134,2),0))</f>
        <v>0</v>
      </c>
      <c r="I134" s="17">
        <f t="shared" si="31"/>
        <v>0</v>
      </c>
      <c r="J134" s="17">
        <f>(Resumen!$C$10*(1-Resumen!$C$24)*(1+Incmat)^5)*C134</f>
        <v>0</v>
      </c>
      <c r="K134" s="17">
        <f>+IF(F134=1,PMT(X134,(Resumen!$C$36+Resumen!$C$26+Resumen!$C$14*6-B134+1),-Amortizacion!G134),0)</f>
        <v>0</v>
      </c>
      <c r="L134" s="17">
        <f t="shared" si="33"/>
        <v>0</v>
      </c>
      <c r="M134" s="17">
        <f>+IF(Resumen!$C$20="no",H134,0)</f>
        <v>0</v>
      </c>
      <c r="N134" s="17">
        <f t="shared" si="34"/>
        <v>5.8207660913467407E-11</v>
      </c>
      <c r="O134" s="17">
        <f>+IF(AND(Resumen!$C$18="SI",Amortizacion!E134=1),SUM($H$2:J134)*25%,0)</f>
        <v>0</v>
      </c>
      <c r="P134" s="1">
        <f t="shared" si="42"/>
        <v>0</v>
      </c>
      <c r="Q134" s="17">
        <f t="shared" si="43"/>
        <v>0</v>
      </c>
      <c r="R134" s="17">
        <f t="shared" si="35"/>
        <v>0</v>
      </c>
      <c r="S134" s="17">
        <f>(Resumen!$C$10*(Resumen!$C$24)*(1+Incmat)^5)*$C134</f>
        <v>0</v>
      </c>
      <c r="T134" s="21">
        <f t="shared" si="36"/>
        <v>0</v>
      </c>
      <c r="U134" s="17">
        <f t="shared" si="37"/>
        <v>0</v>
      </c>
      <c r="V134" s="17">
        <f t="shared" si="38"/>
        <v>0</v>
      </c>
      <c r="W134" s="17">
        <f t="shared" si="44"/>
        <v>5.8207660913467407E-11</v>
      </c>
      <c r="X134" s="15" t="str">
        <f>+IF(B134="","",Resumen!$C$34)</f>
        <v/>
      </c>
      <c r="Y134" s="16">
        <f t="shared" si="32"/>
        <v>0</v>
      </c>
      <c r="Z134" s="20">
        <f t="shared" si="39"/>
        <v>0</v>
      </c>
      <c r="AA134" s="20">
        <f t="shared" si="40"/>
        <v>0</v>
      </c>
      <c r="AB134" s="20">
        <f>+IF(Resumen!$C$8="no",0,W134*((1+10%)^(0.0833333333333333)-1))</f>
        <v>0</v>
      </c>
    </row>
    <row r="135" spans="1:28" x14ac:dyDescent="0.35">
      <c r="A135">
        <f t="shared" si="41"/>
        <v>134</v>
      </c>
      <c r="B135" t="str">
        <f>+IF(A135&gt;Resumen!$C$40,"",A135)</f>
        <v/>
      </c>
      <c r="C135" s="1">
        <f>+IFERROR(HLOOKUP($B135,Resumen!$F$3:$AM$10,8,0),0)</f>
        <v>0</v>
      </c>
      <c r="D135" s="1">
        <f>+IFERROR(HLOOKUP($B135,Resumen!$F$3:$AM$12,10),0)</f>
        <v>0</v>
      </c>
      <c r="E135" s="1">
        <f>+IF(B135=Resumen!$C$38*6-6,1,0)</f>
        <v>0</v>
      </c>
      <c r="F135" s="1">
        <f>+IFERROR(HLOOKUP($B135,Resumen!$F$3:$AM$14,12),0)</f>
        <v>0</v>
      </c>
      <c r="G135" s="17">
        <f t="shared" si="30"/>
        <v>5.8207660913467407E-11</v>
      </c>
      <c r="H135" s="17">
        <f>IF(X135="",0,IF(F135=0,ROUND(SUM(J$2:J135)*X135,2),0))</f>
        <v>0</v>
      </c>
      <c r="I135" s="17">
        <f t="shared" si="31"/>
        <v>0</v>
      </c>
      <c r="J135" s="17">
        <f>(Resumen!$C$10*(1-Resumen!$C$24)*(1+Incmat)^5)*C135</f>
        <v>0</v>
      </c>
      <c r="K135" s="17">
        <f>+IF(F135=1,PMT(X135,(Resumen!$C$36+Resumen!$C$26+Resumen!$C$14*6-B135+1),-Amortizacion!G135),0)</f>
        <v>0</v>
      </c>
      <c r="L135" s="17">
        <f t="shared" si="33"/>
        <v>0</v>
      </c>
      <c r="M135" s="17">
        <f>+IF(Resumen!$C$20="no",H135,0)</f>
        <v>0</v>
      </c>
      <c r="N135" s="17">
        <f t="shared" si="34"/>
        <v>5.8207660913467407E-11</v>
      </c>
      <c r="O135" s="17">
        <f>+IF(AND(Resumen!$C$18="SI",Amortizacion!E135=1),SUM($H$2:J135)*25%,0)</f>
        <v>0</v>
      </c>
      <c r="P135" s="1">
        <f t="shared" si="42"/>
        <v>0</v>
      </c>
      <c r="Q135" s="17">
        <f t="shared" si="43"/>
        <v>0</v>
      </c>
      <c r="R135" s="17">
        <f t="shared" si="35"/>
        <v>0</v>
      </c>
      <c r="S135" s="17">
        <f>(Resumen!$C$10*(Resumen!$C$24)*(1+Incmat)^5)*$C135</f>
        <v>0</v>
      </c>
      <c r="T135" s="21">
        <f t="shared" si="36"/>
        <v>0</v>
      </c>
      <c r="U135" s="17">
        <f t="shared" si="37"/>
        <v>0</v>
      </c>
      <c r="V135" s="17">
        <f t="shared" si="38"/>
        <v>0</v>
      </c>
      <c r="W135" s="17">
        <f t="shared" si="44"/>
        <v>5.8207660913467407E-11</v>
      </c>
      <c r="X135" s="15" t="str">
        <f>+IF(B135="","",Resumen!$C$34)</f>
        <v/>
      </c>
      <c r="Y135" s="16">
        <f t="shared" si="32"/>
        <v>0</v>
      </c>
      <c r="Z135" s="20">
        <f t="shared" si="39"/>
        <v>0</v>
      </c>
      <c r="AA135" s="20">
        <f t="shared" si="40"/>
        <v>0</v>
      </c>
      <c r="AB135" s="20">
        <f>+IF(Resumen!$C$8="no",0,W135*((1+10%)^(0.0833333333333333)-1))</f>
        <v>0</v>
      </c>
    </row>
    <row r="136" spans="1:28" x14ac:dyDescent="0.35">
      <c r="A136">
        <f t="shared" si="41"/>
        <v>135</v>
      </c>
      <c r="B136" t="str">
        <f>+IF(A136&gt;Resumen!$C$40,"",A136)</f>
        <v/>
      </c>
      <c r="C136" s="1">
        <f>+IFERROR(HLOOKUP($B136,Resumen!$F$3:$AM$10,8,0),0)</f>
        <v>0</v>
      </c>
      <c r="D136" s="1">
        <f>+IFERROR(HLOOKUP($B136,Resumen!$F$3:$AM$12,10),0)</f>
        <v>0</v>
      </c>
      <c r="E136" s="1">
        <f>+IF(B136=Resumen!$C$38*6-6,1,0)</f>
        <v>0</v>
      </c>
      <c r="F136" s="1">
        <f>+IFERROR(HLOOKUP($B136,Resumen!$F$3:$AM$14,12),0)</f>
        <v>0</v>
      </c>
      <c r="G136" s="17">
        <f t="shared" si="30"/>
        <v>5.8207660913467407E-11</v>
      </c>
      <c r="H136" s="17">
        <f>IF(X136="",0,IF(F136=0,ROUND(SUM(J$2:J136)*X136,2),0))</f>
        <v>0</v>
      </c>
      <c r="I136" s="17">
        <f t="shared" si="31"/>
        <v>0</v>
      </c>
      <c r="J136" s="17">
        <f>(Resumen!$C$10*(1-Resumen!$C$24)*(1+Incmat)^5)*C136</f>
        <v>0</v>
      </c>
      <c r="K136" s="17">
        <f>+IF(F136=1,PMT(X136,(Resumen!$C$36+Resumen!$C$26+Resumen!$C$14*6-B136+1),-Amortizacion!G136),0)</f>
        <v>0</v>
      </c>
      <c r="L136" s="17">
        <f t="shared" si="33"/>
        <v>0</v>
      </c>
      <c r="M136" s="17">
        <f>+IF(Resumen!$C$20="no",H136,0)</f>
        <v>0</v>
      </c>
      <c r="N136" s="17">
        <f t="shared" si="34"/>
        <v>5.8207660913467407E-11</v>
      </c>
      <c r="O136" s="17">
        <f>+IF(AND(Resumen!$C$18="SI",Amortizacion!E136=1),SUM($H$2:J136)*25%,0)</f>
        <v>0</v>
      </c>
      <c r="P136" s="1">
        <f t="shared" si="42"/>
        <v>0</v>
      </c>
      <c r="Q136" s="17">
        <f t="shared" si="43"/>
        <v>0</v>
      </c>
      <c r="R136" s="17">
        <f t="shared" si="35"/>
        <v>0</v>
      </c>
      <c r="S136" s="17">
        <f>(Resumen!$C$10*(Resumen!$C$24)*(1+Incmat)^5)*$C136</f>
        <v>0</v>
      </c>
      <c r="T136" s="21">
        <f t="shared" si="36"/>
        <v>0</v>
      </c>
      <c r="U136" s="17">
        <f t="shared" si="37"/>
        <v>0</v>
      </c>
      <c r="V136" s="17">
        <f t="shared" si="38"/>
        <v>0</v>
      </c>
      <c r="W136" s="17">
        <f t="shared" si="44"/>
        <v>5.8207660913467407E-11</v>
      </c>
      <c r="X136" s="15" t="str">
        <f>+IF(B136="","",Resumen!$C$34)</f>
        <v/>
      </c>
      <c r="Y136" s="16">
        <f t="shared" si="32"/>
        <v>0</v>
      </c>
      <c r="Z136" s="20">
        <f t="shared" si="39"/>
        <v>0</v>
      </c>
      <c r="AA136" s="20">
        <f t="shared" si="40"/>
        <v>0</v>
      </c>
      <c r="AB136" s="20">
        <f>+IF(Resumen!$C$8="no",0,W136*((1+10%)^(0.0833333333333333)-1))</f>
        <v>0</v>
      </c>
    </row>
    <row r="137" spans="1:28" x14ac:dyDescent="0.35">
      <c r="A137">
        <f t="shared" si="41"/>
        <v>136</v>
      </c>
      <c r="B137" t="str">
        <f>+IF(A137&gt;Resumen!$C$40,"",A137)</f>
        <v/>
      </c>
      <c r="C137" s="1">
        <f>+IFERROR(HLOOKUP($B137,Resumen!$F$3:$AM$10,8,0),0)</f>
        <v>0</v>
      </c>
      <c r="D137" s="1">
        <f>+IFERROR(HLOOKUP($B137,Resumen!$F$3:$AM$12,10),0)</f>
        <v>0</v>
      </c>
      <c r="E137" s="1">
        <f>+IF(B137=Resumen!$C$38*6-6,1,0)</f>
        <v>0</v>
      </c>
      <c r="F137" s="1">
        <f>+IFERROR(HLOOKUP($B137,Resumen!$F$3:$AM$14,12),0)</f>
        <v>0</v>
      </c>
      <c r="G137" s="17">
        <f t="shared" si="30"/>
        <v>5.8207660913467407E-11</v>
      </c>
      <c r="H137" s="17">
        <f>IF(X137="",0,IF(F137=0,ROUND(SUM(J$2:J137)*X137,2),0))</f>
        <v>0</v>
      </c>
      <c r="I137" s="17">
        <f t="shared" si="31"/>
        <v>0</v>
      </c>
      <c r="J137" s="17">
        <f>(Resumen!$C$10*(1-Resumen!$C$24)*(1+Incmat)^5)*C137</f>
        <v>0</v>
      </c>
      <c r="K137" s="17">
        <f>+IF(F137=1,PMT(X137,(Resumen!$C$36+Resumen!$C$26+Resumen!$C$14*6-B137+1),-Amortizacion!G137),0)</f>
        <v>0</v>
      </c>
      <c r="L137" s="17">
        <f t="shared" si="33"/>
        <v>0</v>
      </c>
      <c r="M137" s="17">
        <f>+IF(Resumen!$C$20="no",H137,0)</f>
        <v>0</v>
      </c>
      <c r="N137" s="17">
        <f t="shared" si="34"/>
        <v>5.8207660913467407E-11</v>
      </c>
      <c r="O137" s="17">
        <f>+IF(AND(Resumen!$C$18="SI",Amortizacion!E137=1),SUM($H$2:J137)*25%,0)</f>
        <v>0</v>
      </c>
      <c r="P137" s="1">
        <f t="shared" si="42"/>
        <v>0</v>
      </c>
      <c r="Q137" s="17">
        <f t="shared" si="43"/>
        <v>0</v>
      </c>
      <c r="R137" s="17">
        <f t="shared" si="35"/>
        <v>0</v>
      </c>
      <c r="S137" s="17">
        <f>(Resumen!$C$10*(Resumen!$C$24)*(1+Incmat)^5)*$C137</f>
        <v>0</v>
      </c>
      <c r="T137" s="21">
        <f t="shared" si="36"/>
        <v>0</v>
      </c>
      <c r="U137" s="17">
        <f t="shared" si="37"/>
        <v>0</v>
      </c>
      <c r="V137" s="17">
        <f t="shared" si="38"/>
        <v>0</v>
      </c>
      <c r="W137" s="17">
        <f t="shared" si="44"/>
        <v>5.8207660913467407E-11</v>
      </c>
      <c r="X137" s="15" t="str">
        <f>+IF(B137="","",Resumen!$C$34)</f>
        <v/>
      </c>
      <c r="Y137" s="16">
        <f t="shared" si="32"/>
        <v>0</v>
      </c>
      <c r="Z137" s="20">
        <f t="shared" si="39"/>
        <v>0</v>
      </c>
      <c r="AA137" s="20">
        <f t="shared" si="40"/>
        <v>0</v>
      </c>
      <c r="AB137" s="20">
        <f>+IF(Resumen!$C$8="no",0,W137*((1+10%)^(0.0833333333333333)-1))</f>
        <v>0</v>
      </c>
    </row>
    <row r="138" spans="1:28" x14ac:dyDescent="0.35">
      <c r="A138">
        <f t="shared" si="41"/>
        <v>137</v>
      </c>
      <c r="B138" t="str">
        <f>+IF(A138&gt;Resumen!$C$40,"",A138)</f>
        <v/>
      </c>
      <c r="C138" s="1">
        <f>+IFERROR(HLOOKUP($B138,Resumen!$F$3:$AM$10,8,0),0)</f>
        <v>0</v>
      </c>
      <c r="D138" s="1">
        <f>+IFERROR(HLOOKUP($B138,Resumen!$F$3:$AM$12,10),0)</f>
        <v>0</v>
      </c>
      <c r="E138" s="1">
        <f>+IF(B138=Resumen!$C$38*6-6,1,0)</f>
        <v>0</v>
      </c>
      <c r="F138" s="1">
        <f>+IFERROR(HLOOKUP($B138,Resumen!$F$3:$AM$14,12),0)</f>
        <v>0</v>
      </c>
      <c r="G138" s="17">
        <f t="shared" ref="G138:G201" si="45">+N137-O137</f>
        <v>5.8207660913467407E-11</v>
      </c>
      <c r="H138" s="17">
        <f>IF(X138="",0,IF(F138=0,ROUND(SUM(J$2:J138)*X138,2),0))</f>
        <v>0</v>
      </c>
      <c r="I138" s="17">
        <f t="shared" si="31"/>
        <v>0</v>
      </c>
      <c r="J138" s="17">
        <f>(Resumen!$C$10*(1-Resumen!$C$24)*(1+Incmat)^5)*C138</f>
        <v>0</v>
      </c>
      <c r="K138" s="17">
        <f>+IF(F138=1,PMT(X138,(Resumen!$C$36+Resumen!$C$26+Resumen!$C$14*6-B138+1),-Amortizacion!G138),0)</f>
        <v>0</v>
      </c>
      <c r="L138" s="17">
        <f t="shared" si="33"/>
        <v>0</v>
      </c>
      <c r="M138" s="17">
        <f>+IF(Resumen!$C$20="no",H138,0)</f>
        <v>0</v>
      </c>
      <c r="N138" s="17">
        <f t="shared" si="34"/>
        <v>5.8207660913467407E-11</v>
      </c>
      <c r="O138" s="17">
        <f>+IF(AND(Resumen!$C$18="SI",Amortizacion!E138=1),SUM($H$2:J138)*25%,0)</f>
        <v>0</v>
      </c>
      <c r="P138" s="1">
        <f t="shared" si="42"/>
        <v>0</v>
      </c>
      <c r="Q138" s="17">
        <f t="shared" si="43"/>
        <v>0</v>
      </c>
      <c r="R138" s="17">
        <f t="shared" si="35"/>
        <v>0</v>
      </c>
      <c r="S138" s="17">
        <f>(Resumen!$C$10*(Resumen!$C$24)*(1+Incmat)^5)*$C138</f>
        <v>0</v>
      </c>
      <c r="T138" s="21">
        <f t="shared" si="36"/>
        <v>0</v>
      </c>
      <c r="U138" s="17">
        <f t="shared" si="37"/>
        <v>0</v>
      </c>
      <c r="V138" s="17">
        <f t="shared" si="38"/>
        <v>0</v>
      </c>
      <c r="W138" s="17">
        <f t="shared" si="44"/>
        <v>5.8207660913467407E-11</v>
      </c>
      <c r="X138" s="15" t="str">
        <f>+IF(B138="","",Resumen!$C$34)</f>
        <v/>
      </c>
      <c r="Y138" s="16">
        <f t="shared" si="32"/>
        <v>0</v>
      </c>
      <c r="Z138" s="20">
        <f t="shared" si="39"/>
        <v>0</v>
      </c>
      <c r="AA138" s="20">
        <f t="shared" si="40"/>
        <v>0</v>
      </c>
      <c r="AB138" s="20">
        <f>+IF(Resumen!$C$8="no",0,W138*((1+10%)^(0.0833333333333333)-1))</f>
        <v>0</v>
      </c>
    </row>
    <row r="139" spans="1:28" x14ac:dyDescent="0.35">
      <c r="A139">
        <f t="shared" si="41"/>
        <v>138</v>
      </c>
      <c r="B139" t="str">
        <f>+IF(A139&gt;Resumen!$C$40,"",A139)</f>
        <v/>
      </c>
      <c r="C139" s="1">
        <f>+IFERROR(HLOOKUP($B139,Resumen!$F$3:$AM$10,8,0),0)</f>
        <v>0</v>
      </c>
      <c r="D139" s="1">
        <f>+IFERROR(HLOOKUP($B139,Resumen!$F$3:$AM$12,10),0)</f>
        <v>0</v>
      </c>
      <c r="E139" s="1">
        <f>+IF(B139=Resumen!$C$38*6-6,1,0)</f>
        <v>0</v>
      </c>
      <c r="F139" s="1">
        <f>+IFERROR(HLOOKUP($B139,Resumen!$F$3:$AM$14,12),0)</f>
        <v>0</v>
      </c>
      <c r="G139" s="17">
        <f t="shared" si="45"/>
        <v>5.8207660913467407E-11</v>
      </c>
      <c r="H139" s="17">
        <f>IF(X139="",0,IF(F139=0,ROUND(SUM(J$2:J139)*X139,2),0))</f>
        <v>0</v>
      </c>
      <c r="I139" s="17">
        <f t="shared" si="31"/>
        <v>0</v>
      </c>
      <c r="J139" s="17">
        <f>(Resumen!$C$10*(1-Resumen!$C$24)*(1+Incmat)^5)*C139</f>
        <v>0</v>
      </c>
      <c r="K139" s="17">
        <f>+IF(F139=1,PMT(X139,(Resumen!$C$36+Resumen!$C$26+Resumen!$C$14*6-B139+1),-Amortizacion!G139),0)</f>
        <v>0</v>
      </c>
      <c r="L139" s="17">
        <f t="shared" si="33"/>
        <v>0</v>
      </c>
      <c r="M139" s="17">
        <f>+IF(Resumen!$C$20="no",H139,0)</f>
        <v>0</v>
      </c>
      <c r="N139" s="17">
        <f t="shared" si="34"/>
        <v>5.8207660913467407E-11</v>
      </c>
      <c r="O139" s="17">
        <f>+IF(AND(Resumen!$C$18="SI",Amortizacion!E139=1),SUM($H$2:J139)*25%,0)</f>
        <v>0</v>
      </c>
      <c r="P139" s="1">
        <f t="shared" si="42"/>
        <v>0</v>
      </c>
      <c r="Q139" s="17">
        <f t="shared" si="43"/>
        <v>0</v>
      </c>
      <c r="R139" s="17">
        <f t="shared" si="35"/>
        <v>0</v>
      </c>
      <c r="S139" s="17">
        <f>(Resumen!$C$10*(Resumen!$C$24)*(1+Incmat)^5)*$C139</f>
        <v>0</v>
      </c>
      <c r="T139" s="21">
        <f t="shared" si="36"/>
        <v>0</v>
      </c>
      <c r="U139" s="17">
        <f t="shared" si="37"/>
        <v>0</v>
      </c>
      <c r="V139" s="17">
        <f t="shared" si="38"/>
        <v>0</v>
      </c>
      <c r="W139" s="17">
        <f t="shared" si="44"/>
        <v>5.8207660913467407E-11</v>
      </c>
      <c r="X139" s="15" t="str">
        <f>+IF(B139="","",Resumen!$C$34)</f>
        <v/>
      </c>
      <c r="Y139" s="16">
        <f t="shared" si="32"/>
        <v>0</v>
      </c>
      <c r="Z139" s="20">
        <f t="shared" si="39"/>
        <v>0</v>
      </c>
      <c r="AA139" s="20">
        <f t="shared" si="40"/>
        <v>0</v>
      </c>
      <c r="AB139" s="20">
        <f>+IF(Resumen!$C$8="no",0,W139*((1+10%)^(0.0833333333333333)-1))</f>
        <v>0</v>
      </c>
    </row>
    <row r="140" spans="1:28" x14ac:dyDescent="0.35">
      <c r="A140">
        <f t="shared" si="41"/>
        <v>139</v>
      </c>
      <c r="B140" t="str">
        <f>+IF(A140&gt;Resumen!$C$40,"",A140)</f>
        <v/>
      </c>
      <c r="C140" s="1">
        <f>+IFERROR(HLOOKUP($B140,Resumen!$F$3:$AM$10,8,0),0)</f>
        <v>0</v>
      </c>
      <c r="D140" s="1">
        <f>+IFERROR(HLOOKUP($B140,Resumen!$F$3:$AM$12,10),0)</f>
        <v>0</v>
      </c>
      <c r="E140" s="1">
        <f>+IF(B140=Resumen!$C$38*6-6,1,0)</f>
        <v>0</v>
      </c>
      <c r="F140" s="1">
        <f>+IFERROR(HLOOKUP($B140,Resumen!$F$3:$AM$14,12),0)</f>
        <v>0</v>
      </c>
      <c r="G140" s="17">
        <f t="shared" si="45"/>
        <v>5.8207660913467407E-11</v>
      </c>
      <c r="H140" s="17">
        <f>IF(X140="",0,IF(F140=0,ROUND(SUM(J$2:J140)*X140,2),0))</f>
        <v>0</v>
      </c>
      <c r="I140" s="17">
        <f t="shared" si="31"/>
        <v>0</v>
      </c>
      <c r="J140" s="17">
        <f>(Resumen!$C$10*(1-Resumen!$C$24)*(1+Incmat)^5)*C140</f>
        <v>0</v>
      </c>
      <c r="K140" s="17">
        <f>+IF(F140=1,PMT(X140,(Resumen!$C$36+Resumen!$C$26+Resumen!$C$14*6-B140+1),-Amortizacion!G140),0)</f>
        <v>0</v>
      </c>
      <c r="L140" s="17">
        <f t="shared" si="33"/>
        <v>0</v>
      </c>
      <c r="M140" s="17">
        <f>+IF(Resumen!$C$20="no",H140,0)</f>
        <v>0</v>
      </c>
      <c r="N140" s="17">
        <f t="shared" si="34"/>
        <v>5.8207660913467407E-11</v>
      </c>
      <c r="O140" s="17">
        <f>+IF(AND(Resumen!$C$18="SI",Amortizacion!E140=1),SUM($H$2:J140)*25%,0)</f>
        <v>0</v>
      </c>
      <c r="P140" s="1">
        <f t="shared" si="42"/>
        <v>0</v>
      </c>
      <c r="Q140" s="17">
        <f t="shared" si="43"/>
        <v>0</v>
      </c>
      <c r="R140" s="17">
        <f t="shared" si="35"/>
        <v>0</v>
      </c>
      <c r="S140" s="17">
        <f>(Resumen!$C$10*(Resumen!$C$24)*(1+Incmat)^5)*$C140</f>
        <v>0</v>
      </c>
      <c r="T140" s="21">
        <f t="shared" si="36"/>
        <v>0</v>
      </c>
      <c r="U140" s="17">
        <f t="shared" si="37"/>
        <v>0</v>
      </c>
      <c r="V140" s="17">
        <f t="shared" si="38"/>
        <v>0</v>
      </c>
      <c r="W140" s="17">
        <f t="shared" si="44"/>
        <v>5.8207660913467407E-11</v>
      </c>
      <c r="X140" s="15" t="str">
        <f>+IF(B140="","",Resumen!$C$34)</f>
        <v/>
      </c>
      <c r="Y140" s="16">
        <f t="shared" si="32"/>
        <v>0</v>
      </c>
      <c r="Z140" s="20">
        <f t="shared" si="39"/>
        <v>0</v>
      </c>
      <c r="AA140" s="20">
        <f t="shared" si="40"/>
        <v>0</v>
      </c>
      <c r="AB140" s="20">
        <f>+IF(Resumen!$C$8="no",0,W140*((1+10%)^(0.0833333333333333)-1))</f>
        <v>0</v>
      </c>
    </row>
    <row r="141" spans="1:28" x14ac:dyDescent="0.35">
      <c r="A141">
        <f t="shared" si="41"/>
        <v>140</v>
      </c>
      <c r="B141" t="str">
        <f>+IF(A141&gt;Resumen!$C$40,"",A141)</f>
        <v/>
      </c>
      <c r="C141" s="1">
        <f>+IFERROR(HLOOKUP($B141,Resumen!$F$3:$AM$10,8,0),0)</f>
        <v>0</v>
      </c>
      <c r="D141" s="1">
        <f>+IFERROR(HLOOKUP($B141,Resumen!$F$3:$AM$12,10),0)</f>
        <v>0</v>
      </c>
      <c r="E141" s="1">
        <f>+IF(B141=Resumen!$C$38*6-6,1,0)</f>
        <v>0</v>
      </c>
      <c r="F141" s="1">
        <f>+IFERROR(HLOOKUP($B141,Resumen!$F$3:$AM$14,12),0)</f>
        <v>0</v>
      </c>
      <c r="G141" s="17">
        <f t="shared" si="45"/>
        <v>5.8207660913467407E-11</v>
      </c>
      <c r="H141" s="17">
        <f>IF(X141="",0,IF(F141=0,ROUND(SUM(J$2:J141)*X141,2),0))</f>
        <v>0</v>
      </c>
      <c r="I141" s="17">
        <f t="shared" si="31"/>
        <v>0</v>
      </c>
      <c r="J141" s="17">
        <f>(Resumen!$C$10*(1-Resumen!$C$24)*(1+Incmat)^5)*C141</f>
        <v>0</v>
      </c>
      <c r="K141" s="17">
        <f>+IF(F141=1,PMT(X141,(Resumen!$C$36+Resumen!$C$26+Resumen!$C$14*6-B141+1),-Amortizacion!G141),0)</f>
        <v>0</v>
      </c>
      <c r="L141" s="17">
        <f t="shared" si="33"/>
        <v>0</v>
      </c>
      <c r="M141" s="17">
        <f>+IF(Resumen!$C$20="no",H141,0)</f>
        <v>0</v>
      </c>
      <c r="N141" s="17">
        <f t="shared" si="34"/>
        <v>5.8207660913467407E-11</v>
      </c>
      <c r="O141" s="17">
        <f>+IF(AND(Resumen!$C$18="SI",Amortizacion!E141=1),SUM($H$2:J141)*25%,0)</f>
        <v>0</v>
      </c>
      <c r="P141" s="1">
        <f t="shared" si="42"/>
        <v>0</v>
      </c>
      <c r="Q141" s="17">
        <f t="shared" si="43"/>
        <v>0</v>
      </c>
      <c r="R141" s="17">
        <f t="shared" si="35"/>
        <v>0</v>
      </c>
      <c r="S141" s="17">
        <f>(Resumen!$C$10*(Resumen!$C$24)*(1+Incmat)^5)*$C141</f>
        <v>0</v>
      </c>
      <c r="T141" s="21">
        <f t="shared" si="36"/>
        <v>0</v>
      </c>
      <c r="U141" s="17">
        <f t="shared" si="37"/>
        <v>0</v>
      </c>
      <c r="V141" s="17">
        <f t="shared" si="38"/>
        <v>0</v>
      </c>
      <c r="W141" s="17">
        <f t="shared" si="44"/>
        <v>5.8207660913467407E-11</v>
      </c>
      <c r="X141" s="15" t="str">
        <f>+IF(B141="","",Resumen!$C$34)</f>
        <v/>
      </c>
      <c r="Y141" s="16">
        <f t="shared" si="32"/>
        <v>0</v>
      </c>
      <c r="Z141" s="20">
        <f t="shared" si="39"/>
        <v>0</v>
      </c>
      <c r="AA141" s="20">
        <f t="shared" si="40"/>
        <v>0</v>
      </c>
      <c r="AB141" s="20">
        <f>+IF(Resumen!$C$8="no",0,W141*((1+10%)^(0.0833333333333333)-1))</f>
        <v>0</v>
      </c>
    </row>
    <row r="142" spans="1:28" x14ac:dyDescent="0.35">
      <c r="A142">
        <f t="shared" si="41"/>
        <v>141</v>
      </c>
      <c r="B142" t="str">
        <f>+IF(A142&gt;Resumen!$C$40,"",A142)</f>
        <v/>
      </c>
      <c r="C142" s="1">
        <f>+IFERROR(HLOOKUP($B142,Resumen!$F$3:$AM$10,8,0),0)</f>
        <v>0</v>
      </c>
      <c r="D142" s="1">
        <f>+IFERROR(HLOOKUP($B142,Resumen!$F$3:$AM$12,10),0)</f>
        <v>0</v>
      </c>
      <c r="E142" s="1">
        <f>+IF(B142=Resumen!$C$38*6-6,1,0)</f>
        <v>0</v>
      </c>
      <c r="F142" s="1">
        <f>+IFERROR(HLOOKUP($B142,Resumen!$F$3:$AM$14,12),0)</f>
        <v>0</v>
      </c>
      <c r="G142" s="17">
        <f t="shared" si="45"/>
        <v>5.8207660913467407E-11</v>
      </c>
      <c r="H142" s="17">
        <f>IF(X142="",0,IF(F142=0,ROUND(SUM(J$2:J142)*X142,2),0))</f>
        <v>0</v>
      </c>
      <c r="I142" s="17">
        <f t="shared" si="31"/>
        <v>0</v>
      </c>
      <c r="J142" s="17">
        <f>(Resumen!$C$10*(1-Resumen!$C$24)*(1+Incmat)^5)*C142</f>
        <v>0</v>
      </c>
      <c r="K142" s="17">
        <f>+IF(F142=1,PMT(X142,(Resumen!$C$36+Resumen!$C$26+Resumen!$C$14*6-B142+1),-Amortizacion!G142),0)</f>
        <v>0</v>
      </c>
      <c r="L142" s="17">
        <f t="shared" si="33"/>
        <v>0</v>
      </c>
      <c r="M142" s="17">
        <f>+IF(Resumen!$C$20="no",H142,0)</f>
        <v>0</v>
      </c>
      <c r="N142" s="17">
        <f t="shared" si="34"/>
        <v>5.8207660913467407E-11</v>
      </c>
      <c r="O142" s="17">
        <f>+IF(AND(Resumen!$C$18="SI",Amortizacion!E142=1),SUM($H$2:J142)*25%,0)</f>
        <v>0</v>
      </c>
      <c r="P142" s="1">
        <f t="shared" si="42"/>
        <v>0</v>
      </c>
      <c r="Q142" s="17">
        <f t="shared" si="43"/>
        <v>0</v>
      </c>
      <c r="R142" s="17">
        <f t="shared" si="35"/>
        <v>0</v>
      </c>
      <c r="S142" s="17">
        <f>(Resumen!$C$10*(Resumen!$C$24)*(1+Incmat)^5)*$C142</f>
        <v>0</v>
      </c>
      <c r="T142" s="21">
        <f t="shared" si="36"/>
        <v>0</v>
      </c>
      <c r="U142" s="17">
        <f t="shared" si="37"/>
        <v>0</v>
      </c>
      <c r="V142" s="17">
        <f t="shared" si="38"/>
        <v>0</v>
      </c>
      <c r="W142" s="17">
        <f t="shared" si="44"/>
        <v>5.8207660913467407E-11</v>
      </c>
      <c r="X142" s="15" t="str">
        <f>+IF(B142="","",Resumen!$C$34)</f>
        <v/>
      </c>
      <c r="Y142" s="16">
        <f t="shared" si="32"/>
        <v>0</v>
      </c>
      <c r="Z142" s="20">
        <f t="shared" si="39"/>
        <v>0</v>
      </c>
      <c r="AA142" s="20">
        <f t="shared" si="40"/>
        <v>0</v>
      </c>
      <c r="AB142" s="20">
        <f>+IF(Resumen!$C$8="no",0,W142*((1+10%)^(0.0833333333333333)-1))</f>
        <v>0</v>
      </c>
    </row>
    <row r="143" spans="1:28" x14ac:dyDescent="0.35">
      <c r="A143">
        <f t="shared" si="41"/>
        <v>142</v>
      </c>
      <c r="B143" t="str">
        <f>+IF(A143&gt;Resumen!$C$40,"",A143)</f>
        <v/>
      </c>
      <c r="C143" s="1">
        <f>+IFERROR(HLOOKUP($B143,Resumen!$F$3:$AM$10,8,0),0)</f>
        <v>0</v>
      </c>
      <c r="D143" s="1">
        <f>+IFERROR(HLOOKUP($B143,Resumen!$F$3:$AM$12,10),0)</f>
        <v>0</v>
      </c>
      <c r="E143" s="1">
        <f>+IF(B143=Resumen!$C$38*6-6,1,0)</f>
        <v>0</v>
      </c>
      <c r="F143" s="1">
        <f>+IFERROR(HLOOKUP($B143,Resumen!$F$3:$AM$14,12),0)</f>
        <v>0</v>
      </c>
      <c r="G143" s="17">
        <f t="shared" si="45"/>
        <v>5.8207660913467407E-11</v>
      </c>
      <c r="H143" s="17">
        <f>IF(X143="",0,IF(F143=0,ROUND(SUM(J$2:J143)*X143,2),0))</f>
        <v>0</v>
      </c>
      <c r="I143" s="17">
        <f t="shared" si="31"/>
        <v>0</v>
      </c>
      <c r="J143" s="17">
        <f>(Resumen!$C$10*(1-Resumen!$C$24)*(1+Incmat)^5)*C143</f>
        <v>0</v>
      </c>
      <c r="K143" s="17">
        <f>+IF(F143=1,PMT(X143,(Resumen!$C$36+Resumen!$C$26+Resumen!$C$14*6-B143+1),-Amortizacion!G143),0)</f>
        <v>0</v>
      </c>
      <c r="L143" s="17">
        <f t="shared" si="33"/>
        <v>0</v>
      </c>
      <c r="M143" s="17">
        <f>+IF(Resumen!$C$20="no",H143,0)</f>
        <v>0</v>
      </c>
      <c r="N143" s="17">
        <f t="shared" si="34"/>
        <v>5.8207660913467407E-11</v>
      </c>
      <c r="O143" s="17">
        <f>+IF(AND(Resumen!$C$18="SI",Amortizacion!E143=1),SUM($H$2:J143)*25%,0)</f>
        <v>0</v>
      </c>
      <c r="P143" s="1">
        <f t="shared" si="42"/>
        <v>0</v>
      </c>
      <c r="Q143" s="17">
        <f t="shared" si="43"/>
        <v>0</v>
      </c>
      <c r="R143" s="17">
        <f t="shared" si="35"/>
        <v>0</v>
      </c>
      <c r="S143" s="17">
        <f>(Resumen!$C$10*(Resumen!$C$24)*(1+Incmat)^5)*$C143</f>
        <v>0</v>
      </c>
      <c r="T143" s="21">
        <f t="shared" si="36"/>
        <v>0</v>
      </c>
      <c r="U143" s="17">
        <f t="shared" si="37"/>
        <v>0</v>
      </c>
      <c r="V143" s="17">
        <f t="shared" si="38"/>
        <v>0</v>
      </c>
      <c r="W143" s="17">
        <f t="shared" si="44"/>
        <v>5.8207660913467407E-11</v>
      </c>
      <c r="X143" s="15" t="str">
        <f>+IF(B143="","",Resumen!$C$34)</f>
        <v/>
      </c>
      <c r="Y143" s="16">
        <f t="shared" si="32"/>
        <v>0</v>
      </c>
      <c r="Z143" s="20">
        <f t="shared" si="39"/>
        <v>0</v>
      </c>
      <c r="AA143" s="20">
        <f t="shared" si="40"/>
        <v>0</v>
      </c>
      <c r="AB143" s="20">
        <f>+IF(Resumen!$C$8="no",0,W143*((1+10%)^(0.0833333333333333)-1))</f>
        <v>0</v>
      </c>
    </row>
    <row r="144" spans="1:28" x14ac:dyDescent="0.35">
      <c r="A144">
        <f t="shared" si="41"/>
        <v>143</v>
      </c>
      <c r="B144" t="str">
        <f>+IF(A144&gt;Resumen!$C$40,"",A144)</f>
        <v/>
      </c>
      <c r="C144" s="1">
        <f>+IFERROR(HLOOKUP($B144,Resumen!$F$3:$AM$10,8,0),0)</f>
        <v>0</v>
      </c>
      <c r="D144" s="1">
        <f>+IFERROR(HLOOKUP($B144,Resumen!$F$3:$AM$12,10),0)</f>
        <v>0</v>
      </c>
      <c r="E144" s="1">
        <f>+IF(B144=Resumen!$C$38*6-6,1,0)</f>
        <v>0</v>
      </c>
      <c r="F144" s="1">
        <f>+IFERROR(HLOOKUP($B144,Resumen!$F$3:$AM$14,12),0)</f>
        <v>0</v>
      </c>
      <c r="G144" s="17">
        <f t="shared" si="45"/>
        <v>5.8207660913467407E-11</v>
      </c>
      <c r="H144" s="17">
        <f>IF(X144="",0,IF(F144=0,ROUND(SUM(J$2:J144)*X144,2),0))</f>
        <v>0</v>
      </c>
      <c r="I144" s="17">
        <f t="shared" si="31"/>
        <v>0</v>
      </c>
      <c r="J144" s="17">
        <f>(Resumen!$C$10*(1-Resumen!$C$24)*(1+Incmat)^5)*C144</f>
        <v>0</v>
      </c>
      <c r="K144" s="17">
        <f>+IF(F144=1,PMT(X144,(Resumen!$C$36+Resumen!$C$26+Resumen!$C$14*6-B144+1),-Amortizacion!G144),0)</f>
        <v>0</v>
      </c>
      <c r="L144" s="17">
        <f t="shared" si="33"/>
        <v>0</v>
      </c>
      <c r="M144" s="17">
        <f>+IF(Resumen!$C$20="no",H144,0)</f>
        <v>0</v>
      </c>
      <c r="N144" s="17">
        <f t="shared" si="34"/>
        <v>5.8207660913467407E-11</v>
      </c>
      <c r="O144" s="17">
        <f>+IF(AND(Resumen!$C$18="SI",Amortizacion!E144=1),SUM($H$2:J144)*25%,0)</f>
        <v>0</v>
      </c>
      <c r="P144" s="1">
        <f t="shared" si="42"/>
        <v>0</v>
      </c>
      <c r="Q144" s="17">
        <f t="shared" si="43"/>
        <v>0</v>
      </c>
      <c r="R144" s="17">
        <f t="shared" si="35"/>
        <v>0</v>
      </c>
      <c r="S144" s="17">
        <f>(Resumen!$C$10*(Resumen!$C$24)*(1+Incmat)^5)*$C144</f>
        <v>0</v>
      </c>
      <c r="T144" s="21">
        <f t="shared" si="36"/>
        <v>0</v>
      </c>
      <c r="U144" s="17">
        <f t="shared" si="37"/>
        <v>0</v>
      </c>
      <c r="V144" s="17">
        <f t="shared" si="38"/>
        <v>0</v>
      </c>
      <c r="W144" s="17">
        <f t="shared" si="44"/>
        <v>5.8207660913467407E-11</v>
      </c>
      <c r="X144" s="15" t="str">
        <f>+IF(B144="","",Resumen!$C$34)</f>
        <v/>
      </c>
      <c r="Y144" s="16">
        <f t="shared" si="32"/>
        <v>0</v>
      </c>
      <c r="Z144" s="20">
        <f t="shared" si="39"/>
        <v>0</v>
      </c>
      <c r="AA144" s="20">
        <f t="shared" si="40"/>
        <v>0</v>
      </c>
      <c r="AB144" s="20">
        <f>+IF(Resumen!$C$8="no",0,W144*((1+10%)^(0.0833333333333333)-1))</f>
        <v>0</v>
      </c>
    </row>
    <row r="145" spans="1:28" x14ac:dyDescent="0.35">
      <c r="A145">
        <f t="shared" si="41"/>
        <v>144</v>
      </c>
      <c r="B145" t="str">
        <f>+IF(A145&gt;Resumen!$C$40,"",A145)</f>
        <v/>
      </c>
      <c r="C145" s="1">
        <f>+IFERROR(HLOOKUP($B145,Resumen!$F$3:$AM$10,8,0),0)</f>
        <v>0</v>
      </c>
      <c r="D145" s="1">
        <f>+IFERROR(HLOOKUP($B145,Resumen!$F$3:$AM$12,10),0)</f>
        <v>0</v>
      </c>
      <c r="E145" s="1">
        <f>+IF(B145=Resumen!$C$38*6-6,1,0)</f>
        <v>0</v>
      </c>
      <c r="F145" s="1">
        <f>+IFERROR(HLOOKUP($B145,Resumen!$F$3:$AM$14,12),0)</f>
        <v>0</v>
      </c>
      <c r="G145" s="17">
        <f t="shared" si="45"/>
        <v>5.8207660913467407E-11</v>
      </c>
      <c r="H145" s="17">
        <f>IF(X145="",0,IF(F145=0,ROUND(SUM(J$2:J145)*X145,2),0))</f>
        <v>0</v>
      </c>
      <c r="I145" s="17">
        <f t="shared" si="31"/>
        <v>0</v>
      </c>
      <c r="J145" s="17">
        <f>(Resumen!$C$10*(1-Resumen!$C$24)*(1+Incmat)^5)*C145</f>
        <v>0</v>
      </c>
      <c r="K145" s="17">
        <f>+IF(F145=1,PMT(X145,(Resumen!$C$36+Resumen!$C$26+Resumen!$C$14*6-B145+1),-Amortizacion!G145),0)</f>
        <v>0</v>
      </c>
      <c r="L145" s="17">
        <f t="shared" si="33"/>
        <v>0</v>
      </c>
      <c r="M145" s="17">
        <f>+IF(Resumen!$C$20="no",H145,0)</f>
        <v>0</v>
      </c>
      <c r="N145" s="17">
        <f t="shared" si="34"/>
        <v>5.8207660913467407E-11</v>
      </c>
      <c r="O145" s="17">
        <f>+IF(AND(Resumen!$C$18="SI",Amortizacion!E145=1),SUM($H$2:J145)*25%,0)</f>
        <v>0</v>
      </c>
      <c r="P145" s="1">
        <f t="shared" si="42"/>
        <v>0</v>
      </c>
      <c r="Q145" s="17">
        <f t="shared" si="43"/>
        <v>0</v>
      </c>
      <c r="R145" s="17">
        <f t="shared" si="35"/>
        <v>0</v>
      </c>
      <c r="S145" s="17">
        <f>(Resumen!$C$10*(Resumen!$C$24)*(1+Incmat)^5)*$C145</f>
        <v>0</v>
      </c>
      <c r="T145" s="21">
        <f t="shared" si="36"/>
        <v>0</v>
      </c>
      <c r="U145" s="17">
        <f t="shared" si="37"/>
        <v>0</v>
      </c>
      <c r="V145" s="17">
        <f t="shared" si="38"/>
        <v>0</v>
      </c>
      <c r="W145" s="17">
        <f t="shared" si="44"/>
        <v>5.8207660913467407E-11</v>
      </c>
      <c r="X145" s="15" t="str">
        <f>+IF(B145="","",Resumen!$C$34)</f>
        <v/>
      </c>
      <c r="Y145" s="16">
        <f t="shared" si="32"/>
        <v>0</v>
      </c>
      <c r="Z145" s="20">
        <f t="shared" si="39"/>
        <v>0</v>
      </c>
      <c r="AA145" s="20">
        <f t="shared" si="40"/>
        <v>0</v>
      </c>
      <c r="AB145" s="20">
        <f>+IF(Resumen!$C$8="no",0,W145*((1+10%)^(0.0833333333333333)-1))</f>
        <v>0</v>
      </c>
    </row>
    <row r="146" spans="1:28" x14ac:dyDescent="0.35">
      <c r="A146">
        <f t="shared" si="41"/>
        <v>145</v>
      </c>
      <c r="B146" t="str">
        <f>+IF(A146&gt;Resumen!$C$40,"",A146)</f>
        <v/>
      </c>
      <c r="C146" s="1">
        <f>+IFERROR(HLOOKUP($B146,Resumen!$F$3:$AM$10,8,0),0)</f>
        <v>0</v>
      </c>
      <c r="D146" s="1">
        <f>+IFERROR(HLOOKUP($B146,Resumen!$F$3:$AM$12,10),0)</f>
        <v>0</v>
      </c>
      <c r="E146" s="1">
        <f>+IF(B146=Resumen!$C$38*6-6,1,0)</f>
        <v>0</v>
      </c>
      <c r="F146" s="1">
        <f>+IFERROR(HLOOKUP($B146,Resumen!$F$3:$AM$14,12),0)</f>
        <v>0</v>
      </c>
      <c r="G146" s="17">
        <f t="shared" si="45"/>
        <v>5.8207660913467407E-11</v>
      </c>
      <c r="H146" s="17">
        <f>IF(X146="",0,IF(F146=0,ROUND(SUM(J$2:J146)*X146,2),0))</f>
        <v>0</v>
      </c>
      <c r="I146" s="17">
        <f t="shared" si="31"/>
        <v>0</v>
      </c>
      <c r="J146" s="17">
        <f>(Resumen!$C$10*(1-Resumen!$C$24)*(1+Incmat)^5)*C146</f>
        <v>0</v>
      </c>
      <c r="K146" s="17">
        <f>+IF(F146=1,PMT(X146,(Resumen!$C$36+Resumen!$C$26+Resumen!$C$14*6-B146+1),-Amortizacion!G146),0)</f>
        <v>0</v>
      </c>
      <c r="L146" s="17">
        <f t="shared" si="33"/>
        <v>0</v>
      </c>
      <c r="M146" s="17">
        <f>+IF(Resumen!$C$20="no",H146,0)</f>
        <v>0</v>
      </c>
      <c r="N146" s="17">
        <f t="shared" si="34"/>
        <v>5.8207660913467407E-11</v>
      </c>
      <c r="O146" s="17">
        <f>+IF(AND(Resumen!$C$18="SI",Amortizacion!E146=1),SUM($H$2:J146)*25%,0)</f>
        <v>0</v>
      </c>
      <c r="P146" s="1">
        <f t="shared" si="42"/>
        <v>0</v>
      </c>
      <c r="Q146" s="17">
        <f t="shared" si="43"/>
        <v>0</v>
      </c>
      <c r="R146" s="17">
        <f t="shared" si="35"/>
        <v>0</v>
      </c>
      <c r="S146" s="17">
        <f>(Resumen!$C$10*(Resumen!$C$24)*(1+Incmat)^5)*$C146</f>
        <v>0</v>
      </c>
      <c r="T146" s="21">
        <f t="shared" si="36"/>
        <v>0</v>
      </c>
      <c r="U146" s="17">
        <f t="shared" si="37"/>
        <v>0</v>
      </c>
      <c r="V146" s="17">
        <f t="shared" si="38"/>
        <v>0</v>
      </c>
      <c r="W146" s="17">
        <f t="shared" si="44"/>
        <v>5.8207660913467407E-11</v>
      </c>
      <c r="X146" s="15" t="str">
        <f>+IF(B146="","",Resumen!$C$34)</f>
        <v/>
      </c>
      <c r="Y146" s="16">
        <f t="shared" si="32"/>
        <v>0</v>
      </c>
      <c r="Z146" s="20">
        <f t="shared" si="39"/>
        <v>0</v>
      </c>
      <c r="AA146" s="20">
        <f t="shared" si="40"/>
        <v>0</v>
      </c>
      <c r="AB146" s="20">
        <f>+IF(Resumen!$C$8="no",0,W146*((1+10%)^(0.0833333333333333)-1))</f>
        <v>0</v>
      </c>
    </row>
    <row r="147" spans="1:28" x14ac:dyDescent="0.35">
      <c r="A147">
        <f t="shared" si="41"/>
        <v>146</v>
      </c>
      <c r="B147" t="str">
        <f>+IF(A147&gt;Resumen!$C$40,"",A147)</f>
        <v/>
      </c>
      <c r="C147" s="1">
        <f>+IFERROR(HLOOKUP($B147,Resumen!$F$3:$AM$10,8,0),0)</f>
        <v>0</v>
      </c>
      <c r="D147" s="1">
        <f>+IFERROR(HLOOKUP($B147,Resumen!$F$3:$AM$12,10),0)</f>
        <v>0</v>
      </c>
      <c r="E147" s="1">
        <f>+IF(B147=Resumen!$C$38*6-6,1,0)</f>
        <v>0</v>
      </c>
      <c r="F147" s="1">
        <f>+IFERROR(HLOOKUP($B147,Resumen!$F$3:$AM$14,12),0)</f>
        <v>0</v>
      </c>
      <c r="G147" s="17">
        <f t="shared" si="45"/>
        <v>5.8207660913467407E-11</v>
      </c>
      <c r="H147" s="17">
        <f>IF(X147="",0,IF(F147=0,ROUND(SUM(J$2:J147)*X147,2),0))</f>
        <v>0</v>
      </c>
      <c r="I147" s="17">
        <f t="shared" si="31"/>
        <v>0</v>
      </c>
      <c r="J147" s="17">
        <f>(Resumen!$C$10*(1-Resumen!$C$24)*(1+Incmat)^5)*C147</f>
        <v>0</v>
      </c>
      <c r="K147" s="17">
        <f>+IF(F147=1,PMT(X147,(Resumen!$C$36+Resumen!$C$26+Resumen!$C$14*6-B147+1),-Amortizacion!G147),0)</f>
        <v>0</v>
      </c>
      <c r="L147" s="17">
        <f t="shared" si="33"/>
        <v>0</v>
      </c>
      <c r="M147" s="17">
        <f>+IF(Resumen!$C$20="no",H147,0)</f>
        <v>0</v>
      </c>
      <c r="N147" s="17">
        <f t="shared" si="34"/>
        <v>5.8207660913467407E-11</v>
      </c>
      <c r="O147" s="17">
        <f>+IF(AND(Resumen!$C$18="SI",Amortizacion!E147=1),SUM($H$2:J147)*25%,0)</f>
        <v>0</v>
      </c>
      <c r="P147" s="1">
        <f t="shared" si="42"/>
        <v>0</v>
      </c>
      <c r="Q147" s="17">
        <f t="shared" si="43"/>
        <v>0</v>
      </c>
      <c r="R147" s="17">
        <f t="shared" si="35"/>
        <v>0</v>
      </c>
      <c r="S147" s="17">
        <f>(Resumen!$C$10*(Resumen!$C$24)*(1+Incmat)^5)*$C147</f>
        <v>0</v>
      </c>
      <c r="T147" s="21">
        <f t="shared" si="36"/>
        <v>0</v>
      </c>
      <c r="U147" s="17">
        <f t="shared" si="37"/>
        <v>0</v>
      </c>
      <c r="V147" s="17">
        <f t="shared" si="38"/>
        <v>0</v>
      </c>
      <c r="W147" s="17">
        <f t="shared" si="44"/>
        <v>5.8207660913467407E-11</v>
      </c>
      <c r="X147" s="15" t="str">
        <f>+IF(B147="","",Resumen!$C$34)</f>
        <v/>
      </c>
      <c r="Y147" s="16">
        <f t="shared" si="32"/>
        <v>0</v>
      </c>
      <c r="Z147" s="20">
        <f t="shared" si="39"/>
        <v>0</v>
      </c>
      <c r="AA147" s="20">
        <f t="shared" si="40"/>
        <v>0</v>
      </c>
      <c r="AB147" s="20">
        <f>+IF(Resumen!$C$8="no",0,W147*((1+10%)^(0.0833333333333333)-1))</f>
        <v>0</v>
      </c>
    </row>
    <row r="148" spans="1:28" x14ac:dyDescent="0.35">
      <c r="A148">
        <f t="shared" si="41"/>
        <v>147</v>
      </c>
      <c r="B148" t="str">
        <f>+IF(A148&gt;Resumen!$C$40,"",A148)</f>
        <v/>
      </c>
      <c r="C148" s="1">
        <f>+IFERROR(HLOOKUP($B148,Resumen!$F$3:$AM$10,8,0),0)</f>
        <v>0</v>
      </c>
      <c r="D148" s="1">
        <f>+IFERROR(HLOOKUP($B148,Resumen!$F$3:$AM$12,10),0)</f>
        <v>0</v>
      </c>
      <c r="E148" s="1">
        <f>+IF(B148=Resumen!$C$38*6-6,1,0)</f>
        <v>0</v>
      </c>
      <c r="F148" s="1">
        <f>+IFERROR(HLOOKUP($B148,Resumen!$F$3:$AM$14,12),0)</f>
        <v>0</v>
      </c>
      <c r="G148" s="17">
        <f t="shared" si="45"/>
        <v>5.8207660913467407E-11</v>
      </c>
      <c r="H148" s="17">
        <f>IF(X148="",0,IF(F148=0,ROUND(SUM(J$2:J148)*X148,2),0))</f>
        <v>0</v>
      </c>
      <c r="I148" s="17">
        <f t="shared" si="31"/>
        <v>0</v>
      </c>
      <c r="J148" s="17">
        <f>(Resumen!$C$10*(1-Resumen!$C$24)*(1+Incmat)^5)*C148</f>
        <v>0</v>
      </c>
      <c r="K148" s="17">
        <f>+IF(F148=1,PMT(X148,(Resumen!$C$36+Resumen!$C$26+Resumen!$C$14*6-B148+1),-Amortizacion!G148),0)</f>
        <v>0</v>
      </c>
      <c r="L148" s="17">
        <f t="shared" si="33"/>
        <v>0</v>
      </c>
      <c r="M148" s="17">
        <f>+IF(Resumen!$C$20="no",H148,0)</f>
        <v>0</v>
      </c>
      <c r="N148" s="17">
        <f t="shared" si="34"/>
        <v>5.8207660913467407E-11</v>
      </c>
      <c r="O148" s="17">
        <f>+IF(AND(Resumen!$C$18="SI",Amortizacion!E148=1),SUM($H$2:J148)*25%,0)</f>
        <v>0</v>
      </c>
      <c r="P148" s="1">
        <f t="shared" si="42"/>
        <v>0</v>
      </c>
      <c r="Q148" s="17">
        <f t="shared" si="43"/>
        <v>0</v>
      </c>
      <c r="R148" s="17">
        <f t="shared" si="35"/>
        <v>0</v>
      </c>
      <c r="S148" s="17">
        <f>(Resumen!$C$10*(Resumen!$C$24)*(1+Incmat)^5)*$C148</f>
        <v>0</v>
      </c>
      <c r="T148" s="21">
        <f t="shared" si="36"/>
        <v>0</v>
      </c>
      <c r="U148" s="17">
        <f t="shared" si="37"/>
        <v>0</v>
      </c>
      <c r="V148" s="17">
        <f t="shared" si="38"/>
        <v>0</v>
      </c>
      <c r="W148" s="17">
        <f t="shared" si="44"/>
        <v>5.8207660913467407E-11</v>
      </c>
      <c r="X148" s="15" t="str">
        <f>+IF(B148="","",Resumen!$C$34)</f>
        <v/>
      </c>
      <c r="Y148" s="16">
        <f t="shared" si="32"/>
        <v>0</v>
      </c>
      <c r="Z148" s="20">
        <f t="shared" si="39"/>
        <v>0</v>
      </c>
      <c r="AA148" s="20">
        <f t="shared" si="40"/>
        <v>0</v>
      </c>
      <c r="AB148" s="20">
        <f>+IF(Resumen!$C$8="no",0,W148*((1+10%)^(0.0833333333333333)-1))</f>
        <v>0</v>
      </c>
    </row>
    <row r="149" spans="1:28" x14ac:dyDescent="0.35">
      <c r="A149">
        <f t="shared" si="41"/>
        <v>148</v>
      </c>
      <c r="B149" t="str">
        <f>+IF(A149&gt;Resumen!$C$40,"",A149)</f>
        <v/>
      </c>
      <c r="C149" s="1">
        <f>+IFERROR(HLOOKUP($B149,Resumen!$F$3:$AM$10,8,0),0)</f>
        <v>0</v>
      </c>
      <c r="D149" s="1">
        <f>+IFERROR(HLOOKUP($B149,Resumen!$F$3:$AM$12,10),0)</f>
        <v>0</v>
      </c>
      <c r="E149" s="1">
        <f>+IF(B149=Resumen!$C$38*6-6,1,0)</f>
        <v>0</v>
      </c>
      <c r="F149" s="1">
        <f>+IFERROR(HLOOKUP($B149,Resumen!$F$3:$AM$14,12),0)</f>
        <v>0</v>
      </c>
      <c r="G149" s="17">
        <f t="shared" si="45"/>
        <v>5.8207660913467407E-11</v>
      </c>
      <c r="H149" s="17">
        <f>IF(X149="",0,IF(F149=0,ROUND(SUM(J$2:J149)*X149,2),0))</f>
        <v>0</v>
      </c>
      <c r="I149" s="17">
        <f t="shared" si="31"/>
        <v>0</v>
      </c>
      <c r="J149" s="17">
        <f>(Resumen!$C$10*(1-Resumen!$C$24)*(1+Incmat)^5)*C149</f>
        <v>0</v>
      </c>
      <c r="K149" s="17">
        <f>+IF(F149=1,PMT(X149,(Resumen!$C$36+Resumen!$C$26+Resumen!$C$14*6-B149+1),-Amortizacion!G149),0)</f>
        <v>0</v>
      </c>
      <c r="L149" s="17">
        <f t="shared" si="33"/>
        <v>0</v>
      </c>
      <c r="M149" s="17">
        <f>+IF(Resumen!$C$20="no",H149,0)</f>
        <v>0</v>
      </c>
      <c r="N149" s="17">
        <f t="shared" si="34"/>
        <v>5.8207660913467407E-11</v>
      </c>
      <c r="O149" s="17">
        <f>+IF(AND(Resumen!$C$18="SI",Amortizacion!E149=1),SUM($H$2:J149)*25%,0)</f>
        <v>0</v>
      </c>
      <c r="P149" s="1">
        <f t="shared" si="42"/>
        <v>0</v>
      </c>
      <c r="Q149" s="17">
        <f t="shared" si="43"/>
        <v>0</v>
      </c>
      <c r="R149" s="17">
        <f t="shared" si="35"/>
        <v>0</v>
      </c>
      <c r="S149" s="17">
        <f>(Resumen!$C$10*(Resumen!$C$24)*(1+Incmat)^5)*$C149</f>
        <v>0</v>
      </c>
      <c r="T149" s="21">
        <f t="shared" si="36"/>
        <v>0</v>
      </c>
      <c r="U149" s="17">
        <f t="shared" si="37"/>
        <v>0</v>
      </c>
      <c r="V149" s="17">
        <f t="shared" si="38"/>
        <v>0</v>
      </c>
      <c r="W149" s="17">
        <f t="shared" si="44"/>
        <v>5.8207660913467407E-11</v>
      </c>
      <c r="X149" s="15" t="str">
        <f>+IF(B149="","",Resumen!$C$34)</f>
        <v/>
      </c>
      <c r="Y149" s="16">
        <f t="shared" si="32"/>
        <v>0</v>
      </c>
      <c r="Z149" s="20">
        <f t="shared" si="39"/>
        <v>0</v>
      </c>
      <c r="AA149" s="20">
        <f t="shared" si="40"/>
        <v>0</v>
      </c>
      <c r="AB149" s="20">
        <f>+IF(Resumen!$C$8="no",0,W149*((1+10%)^(0.0833333333333333)-1))</f>
        <v>0</v>
      </c>
    </row>
    <row r="150" spans="1:28" x14ac:dyDescent="0.35">
      <c r="A150">
        <f t="shared" si="41"/>
        <v>149</v>
      </c>
      <c r="B150" t="str">
        <f>+IF(A150&gt;Resumen!$C$40,"",A150)</f>
        <v/>
      </c>
      <c r="C150" s="1">
        <f>+IFERROR(HLOOKUP($B150,Resumen!$F$3:$AM$10,8,0),0)</f>
        <v>0</v>
      </c>
      <c r="D150" s="1">
        <f>+IFERROR(HLOOKUP($B150,Resumen!$F$3:$AM$12,10),0)</f>
        <v>0</v>
      </c>
      <c r="E150" s="1">
        <f>+IF(B150=Resumen!$C$38*6-6,1,0)</f>
        <v>0</v>
      </c>
      <c r="F150" s="1">
        <f>+IFERROR(HLOOKUP($B150,Resumen!$F$3:$AM$14,12),0)</f>
        <v>0</v>
      </c>
      <c r="G150" s="17">
        <f t="shared" si="45"/>
        <v>5.8207660913467407E-11</v>
      </c>
      <c r="H150" s="17">
        <f>IF(X150="",0,IF(F150=0,ROUND(SUM(J$2:J150)*X150,2),0))</f>
        <v>0</v>
      </c>
      <c r="I150" s="17">
        <f t="shared" si="31"/>
        <v>0</v>
      </c>
      <c r="J150" s="17">
        <f>(Resumen!$C$10*(1-Resumen!$C$24)*(1+Incmat)^5)*C150</f>
        <v>0</v>
      </c>
      <c r="K150" s="17">
        <f>+IF(F150=1,PMT(X150,(Resumen!$C$36+Resumen!$C$26+Resumen!$C$14*6-B150+1),-Amortizacion!G150),0)</f>
        <v>0</v>
      </c>
      <c r="L150" s="17">
        <f t="shared" si="33"/>
        <v>0</v>
      </c>
      <c r="M150" s="17">
        <f>+IF(Resumen!$C$20="no",H150,0)</f>
        <v>0</v>
      </c>
      <c r="N150" s="17">
        <f t="shared" si="34"/>
        <v>5.8207660913467407E-11</v>
      </c>
      <c r="O150" s="17">
        <f>+IF(AND(Resumen!$C$18="SI",Amortizacion!E150=1),SUM($H$2:J150)*25%,0)</f>
        <v>0</v>
      </c>
      <c r="P150" s="1">
        <f t="shared" si="42"/>
        <v>0</v>
      </c>
      <c r="Q150" s="17">
        <f t="shared" si="43"/>
        <v>0</v>
      </c>
      <c r="R150" s="17">
        <f t="shared" si="35"/>
        <v>0</v>
      </c>
      <c r="S150" s="17">
        <f>(Resumen!$C$10*(Resumen!$C$24)*(1+Incmat)^5)*$C150</f>
        <v>0</v>
      </c>
      <c r="T150" s="21">
        <f t="shared" si="36"/>
        <v>0</v>
      </c>
      <c r="U150" s="17">
        <f t="shared" si="37"/>
        <v>0</v>
      </c>
      <c r="V150" s="17">
        <f t="shared" si="38"/>
        <v>0</v>
      </c>
      <c r="W150" s="17">
        <f t="shared" si="44"/>
        <v>5.8207660913467407E-11</v>
      </c>
      <c r="X150" s="15" t="str">
        <f>+IF(B150="","",Resumen!$C$34)</f>
        <v/>
      </c>
      <c r="Y150" s="16">
        <f t="shared" si="32"/>
        <v>0</v>
      </c>
      <c r="Z150" s="20">
        <f t="shared" si="39"/>
        <v>0</v>
      </c>
      <c r="AA150" s="20">
        <f t="shared" si="40"/>
        <v>0</v>
      </c>
      <c r="AB150" s="20">
        <f>+IF(Resumen!$C$8="no",0,W150*((1+10%)^(0.0833333333333333)-1))</f>
        <v>0</v>
      </c>
    </row>
    <row r="151" spans="1:28" x14ac:dyDescent="0.35">
      <c r="A151">
        <f t="shared" si="41"/>
        <v>150</v>
      </c>
      <c r="B151" t="str">
        <f>+IF(A151&gt;Resumen!$C$40,"",A151)</f>
        <v/>
      </c>
      <c r="C151" s="1">
        <f>+IFERROR(HLOOKUP($B151,Resumen!$F$3:$AM$10,8,0),0)</f>
        <v>0</v>
      </c>
      <c r="D151" s="1">
        <f>+IFERROR(HLOOKUP($B151,Resumen!$F$3:$AM$12,10),0)</f>
        <v>0</v>
      </c>
      <c r="E151" s="1">
        <f>+IF(B151=Resumen!$C$38*6-6,1,0)</f>
        <v>0</v>
      </c>
      <c r="F151" s="1">
        <f>+IFERROR(HLOOKUP($B151,Resumen!$F$3:$AM$14,12),0)</f>
        <v>0</v>
      </c>
      <c r="G151" s="17">
        <f t="shared" si="45"/>
        <v>5.8207660913467407E-11</v>
      </c>
      <c r="H151" s="17">
        <f>IF(X151="",0,IF(F151=0,ROUND(SUM(J$2:J151)*X151,2),0))</f>
        <v>0</v>
      </c>
      <c r="I151" s="17">
        <f t="shared" si="31"/>
        <v>0</v>
      </c>
      <c r="J151" s="17">
        <f>(Resumen!$C$10*(1-Resumen!$C$24)*(1+Incmat)^5)*C151</f>
        <v>0</v>
      </c>
      <c r="K151" s="17">
        <f>+IF(F151=1,PMT(X151,(Resumen!$C$36+Resumen!$C$26+Resumen!$C$14*6-B151+1),-Amortizacion!G151),0)</f>
        <v>0</v>
      </c>
      <c r="L151" s="17">
        <f t="shared" si="33"/>
        <v>0</v>
      </c>
      <c r="M151" s="17">
        <f>+IF(Resumen!$C$20="no",H151,0)</f>
        <v>0</v>
      </c>
      <c r="N151" s="17">
        <f t="shared" si="34"/>
        <v>5.8207660913467407E-11</v>
      </c>
      <c r="O151" s="17">
        <f>+IF(AND(Resumen!$C$18="SI",Amortizacion!E151=1),SUM($H$2:J151)*25%,0)</f>
        <v>0</v>
      </c>
      <c r="P151" s="1">
        <f t="shared" si="42"/>
        <v>0</v>
      </c>
      <c r="Q151" s="17">
        <f t="shared" si="43"/>
        <v>0</v>
      </c>
      <c r="R151" s="17">
        <f t="shared" si="35"/>
        <v>0</v>
      </c>
      <c r="S151" s="17">
        <f>(Resumen!$C$10*(Resumen!$C$24)*(1+Incmat)^5)*$C151</f>
        <v>0</v>
      </c>
      <c r="T151" s="21">
        <f t="shared" si="36"/>
        <v>0</v>
      </c>
      <c r="U151" s="17">
        <f t="shared" si="37"/>
        <v>0</v>
      </c>
      <c r="V151" s="17">
        <f t="shared" si="38"/>
        <v>0</v>
      </c>
      <c r="W151" s="17">
        <f t="shared" si="44"/>
        <v>5.8207660913467407E-11</v>
      </c>
      <c r="X151" s="15" t="str">
        <f>+IF(B151="","",Resumen!$C$34)</f>
        <v/>
      </c>
      <c r="Y151" s="16">
        <f t="shared" si="32"/>
        <v>0</v>
      </c>
      <c r="Z151" s="20">
        <f t="shared" si="39"/>
        <v>0</v>
      </c>
      <c r="AA151" s="20">
        <f t="shared" si="40"/>
        <v>0</v>
      </c>
      <c r="AB151" s="20">
        <f>+IF(Resumen!$C$8="no",0,W151*((1+10%)^(0.0833333333333333)-1))</f>
        <v>0</v>
      </c>
    </row>
    <row r="152" spans="1:28" x14ac:dyDescent="0.35">
      <c r="A152">
        <f t="shared" si="41"/>
        <v>151</v>
      </c>
      <c r="B152" t="str">
        <f>+IF(A152&gt;Resumen!$C$40,"",A152)</f>
        <v/>
      </c>
      <c r="C152" s="1">
        <f>+IFERROR(HLOOKUP($B152,Resumen!$F$3:$AM$10,8,0),0)</f>
        <v>0</v>
      </c>
      <c r="D152" s="1">
        <f>+IFERROR(HLOOKUP($B152,Resumen!$F$3:$AM$12,10),0)</f>
        <v>0</v>
      </c>
      <c r="E152" s="1">
        <f>+IF(B152=Resumen!$C$38*6-6,1,0)</f>
        <v>0</v>
      </c>
      <c r="F152" s="1">
        <f>+IFERROR(HLOOKUP($B152,Resumen!$F$3:$AM$14,12),0)</f>
        <v>0</v>
      </c>
      <c r="G152" s="17">
        <f t="shared" si="45"/>
        <v>5.8207660913467407E-11</v>
      </c>
      <c r="H152" s="17">
        <f>IF(X152="",0,IF(F152=0,ROUND(SUM(J$2:J152)*X152,2),0))</f>
        <v>0</v>
      </c>
      <c r="I152" s="17">
        <f t="shared" si="31"/>
        <v>0</v>
      </c>
      <c r="J152" s="17">
        <f>(Resumen!$C$10*(1-Resumen!$C$24)*(1+Incmat)^5)*C152</f>
        <v>0</v>
      </c>
      <c r="K152" s="17">
        <f>+IF(F152=1,PMT(X152,(Resumen!$C$36+Resumen!$C$26+Resumen!$C$14*6-B152+1),-Amortizacion!G152),0)</f>
        <v>0</v>
      </c>
      <c r="L152" s="17">
        <f t="shared" si="33"/>
        <v>0</v>
      </c>
      <c r="M152" s="17">
        <f>+IF(Resumen!$C$20="no",H152,0)</f>
        <v>0</v>
      </c>
      <c r="N152" s="17">
        <f t="shared" si="34"/>
        <v>5.8207660913467407E-11</v>
      </c>
      <c r="O152" s="17">
        <f>+IF(AND(Resumen!$C$18="SI",Amortizacion!E152=1),SUM($H$2:J152)*25%,0)</f>
        <v>0</v>
      </c>
      <c r="P152" s="1">
        <f t="shared" si="42"/>
        <v>0</v>
      </c>
      <c r="Q152" s="17">
        <f t="shared" si="43"/>
        <v>0</v>
      </c>
      <c r="R152" s="17">
        <f t="shared" si="35"/>
        <v>0</v>
      </c>
      <c r="S152" s="17">
        <f>(Resumen!$C$10*(Resumen!$C$24)*(1+Incmat)^5)*$C152</f>
        <v>0</v>
      </c>
      <c r="T152" s="21">
        <f t="shared" si="36"/>
        <v>0</v>
      </c>
      <c r="U152" s="17">
        <f t="shared" si="37"/>
        <v>0</v>
      </c>
      <c r="V152" s="17">
        <f t="shared" si="38"/>
        <v>0</v>
      </c>
      <c r="W152" s="17">
        <f t="shared" si="44"/>
        <v>5.8207660913467407E-11</v>
      </c>
      <c r="X152" s="15" t="str">
        <f>+IF(B152="","",Resumen!$C$34)</f>
        <v/>
      </c>
      <c r="Y152" s="16">
        <f t="shared" si="32"/>
        <v>0</v>
      </c>
      <c r="Z152" s="20">
        <f t="shared" si="39"/>
        <v>0</v>
      </c>
      <c r="AA152" s="20">
        <f t="shared" si="40"/>
        <v>0</v>
      </c>
      <c r="AB152" s="20">
        <f>+IF(Resumen!$C$8="no",0,W152*((1+10%)^(0.0833333333333333)-1))</f>
        <v>0</v>
      </c>
    </row>
    <row r="153" spans="1:28" x14ac:dyDescent="0.35">
      <c r="A153">
        <f t="shared" si="41"/>
        <v>152</v>
      </c>
      <c r="B153" t="str">
        <f>+IF(A153&gt;Resumen!$C$40,"",A153)</f>
        <v/>
      </c>
      <c r="C153" s="1">
        <f>+IFERROR(HLOOKUP($B153,Resumen!$F$3:$AM$10,8,0),0)</f>
        <v>0</v>
      </c>
      <c r="D153" s="1">
        <f>+IFERROR(HLOOKUP($B153,Resumen!$F$3:$AM$12,10),0)</f>
        <v>0</v>
      </c>
      <c r="E153" s="1">
        <f>+IF(B153=Resumen!$C$38*6-6,1,0)</f>
        <v>0</v>
      </c>
      <c r="F153" s="1">
        <f>+IFERROR(HLOOKUP($B153,Resumen!$F$3:$AM$14,12),0)</f>
        <v>0</v>
      </c>
      <c r="G153" s="17">
        <f t="shared" si="45"/>
        <v>5.8207660913467407E-11</v>
      </c>
      <c r="H153" s="17">
        <f>IF(X153="",0,IF(F153=0,ROUND(SUM(J$2:J153)*X153,2),0))</f>
        <v>0</v>
      </c>
      <c r="I153" s="17">
        <f t="shared" si="31"/>
        <v>0</v>
      </c>
      <c r="J153" s="17">
        <f>(Resumen!$C$10*(1-Resumen!$C$24)*(1+Incmat)^5)*C153</f>
        <v>0</v>
      </c>
      <c r="K153" s="17">
        <f>+IF(F153=1,PMT(X153,(Resumen!$C$36+Resumen!$C$26+Resumen!$C$14*6-B153+1),-Amortizacion!G153),0)</f>
        <v>0</v>
      </c>
      <c r="L153" s="17">
        <f t="shared" si="33"/>
        <v>0</v>
      </c>
      <c r="M153" s="17">
        <f>+IF(Resumen!$C$20="no",H153,0)</f>
        <v>0</v>
      </c>
      <c r="N153" s="17">
        <f t="shared" si="34"/>
        <v>5.8207660913467407E-11</v>
      </c>
      <c r="O153" s="17">
        <f>+IF(AND(Resumen!$C$18="SI",Amortizacion!E153=1),SUM($H$2:J153)*25%,0)</f>
        <v>0</v>
      </c>
      <c r="P153" s="1">
        <f t="shared" si="42"/>
        <v>0</v>
      </c>
      <c r="Q153" s="17">
        <f t="shared" si="43"/>
        <v>0</v>
      </c>
      <c r="R153" s="17">
        <f t="shared" si="35"/>
        <v>0</v>
      </c>
      <c r="S153" s="17">
        <f>(Resumen!$C$10*(Resumen!$C$24)*(1+Incmat)^5)*$C153</f>
        <v>0</v>
      </c>
      <c r="T153" s="21">
        <f t="shared" si="36"/>
        <v>0</v>
      </c>
      <c r="U153" s="17">
        <f t="shared" si="37"/>
        <v>0</v>
      </c>
      <c r="V153" s="17">
        <f t="shared" si="38"/>
        <v>0</v>
      </c>
      <c r="W153" s="17">
        <f t="shared" si="44"/>
        <v>5.8207660913467407E-11</v>
      </c>
      <c r="X153" s="15" t="str">
        <f>+IF(B153="","",Resumen!$C$34)</f>
        <v/>
      </c>
      <c r="Y153" s="16">
        <f t="shared" si="32"/>
        <v>0</v>
      </c>
      <c r="Z153" s="20">
        <f t="shared" si="39"/>
        <v>0</v>
      </c>
      <c r="AA153" s="20">
        <f t="shared" si="40"/>
        <v>0</v>
      </c>
      <c r="AB153" s="20">
        <f>+IF(Resumen!$C$8="no",0,W153*((1+10%)^(0.0833333333333333)-1))</f>
        <v>0</v>
      </c>
    </row>
    <row r="154" spans="1:28" x14ac:dyDescent="0.35">
      <c r="A154">
        <f t="shared" si="41"/>
        <v>153</v>
      </c>
      <c r="B154" t="str">
        <f>+IF(A154&gt;Resumen!$C$40,"",A154)</f>
        <v/>
      </c>
      <c r="C154" s="1">
        <f>+IFERROR(HLOOKUP($B154,Resumen!$F$3:$AM$10,8,0),0)</f>
        <v>0</v>
      </c>
      <c r="D154" s="1">
        <f>+IFERROR(HLOOKUP($B154,Resumen!$F$3:$AM$12,10),0)</f>
        <v>0</v>
      </c>
      <c r="E154" s="1">
        <f>+IF(B154=Resumen!$C$38*6-6,1,0)</f>
        <v>0</v>
      </c>
      <c r="F154" s="1">
        <f>+IFERROR(HLOOKUP($B154,Resumen!$F$3:$AM$14,12),0)</f>
        <v>0</v>
      </c>
      <c r="G154" s="17">
        <f t="shared" si="45"/>
        <v>5.8207660913467407E-11</v>
      </c>
      <c r="H154" s="17">
        <f>IF(X154="",0,IF(F154=0,ROUND(SUM(J$2:J154)*X154,2),0))</f>
        <v>0</v>
      </c>
      <c r="I154" s="17">
        <f t="shared" si="31"/>
        <v>0</v>
      </c>
      <c r="J154" s="17">
        <f>(Resumen!$C$10*(1-Resumen!$C$24)*(1+Incmat)^5)*C154</f>
        <v>0</v>
      </c>
      <c r="K154" s="17">
        <f>+IF(F154=1,PMT(X154,(Resumen!$C$36+Resumen!$C$26+Resumen!$C$14*6-B154+1),-Amortizacion!G154),0)</f>
        <v>0</v>
      </c>
      <c r="L154" s="17">
        <f t="shared" si="33"/>
        <v>0</v>
      </c>
      <c r="M154" s="17">
        <f>+IF(Resumen!$C$20="no",H154,0)</f>
        <v>0</v>
      </c>
      <c r="N154" s="17">
        <f t="shared" si="34"/>
        <v>5.8207660913467407E-11</v>
      </c>
      <c r="O154" s="17">
        <f>+IF(AND(Resumen!$C$18="SI",Amortizacion!E154=1),SUM($H$2:J154)*25%,0)</f>
        <v>0</v>
      </c>
      <c r="P154" s="1">
        <f t="shared" si="42"/>
        <v>0</v>
      </c>
      <c r="Q154" s="17">
        <f t="shared" si="43"/>
        <v>0</v>
      </c>
      <c r="R154" s="17">
        <f t="shared" si="35"/>
        <v>0</v>
      </c>
      <c r="S154" s="17">
        <f>(Resumen!$C$10*(Resumen!$C$24)*(1+Incmat)^5)*$C154</f>
        <v>0</v>
      </c>
      <c r="T154" s="21">
        <f t="shared" si="36"/>
        <v>0</v>
      </c>
      <c r="U154" s="17">
        <f t="shared" si="37"/>
        <v>0</v>
      </c>
      <c r="V154" s="17">
        <f t="shared" si="38"/>
        <v>0</v>
      </c>
      <c r="W154" s="17">
        <f t="shared" si="44"/>
        <v>5.8207660913467407E-11</v>
      </c>
      <c r="X154" s="15" t="str">
        <f>+IF(B154="","",Resumen!$C$34)</f>
        <v/>
      </c>
      <c r="Y154" s="16">
        <f t="shared" si="32"/>
        <v>0</v>
      </c>
      <c r="Z154" s="20">
        <f t="shared" si="39"/>
        <v>0</v>
      </c>
      <c r="AA154" s="20">
        <f t="shared" si="40"/>
        <v>0</v>
      </c>
      <c r="AB154" s="20">
        <f>+IF(Resumen!$C$8="no",0,W154*((1+10%)^(0.0833333333333333)-1))</f>
        <v>0</v>
      </c>
    </row>
    <row r="155" spans="1:28" x14ac:dyDescent="0.35">
      <c r="A155">
        <f t="shared" si="41"/>
        <v>154</v>
      </c>
      <c r="B155" t="str">
        <f>+IF(A155&gt;Resumen!$C$40,"",A155)</f>
        <v/>
      </c>
      <c r="C155" s="1">
        <f>+IFERROR(HLOOKUP($B155,Resumen!$F$3:$AM$10,8,0),0)</f>
        <v>0</v>
      </c>
      <c r="D155" s="1">
        <f>+IFERROR(HLOOKUP($B155,Resumen!$F$3:$AM$12,10),0)</f>
        <v>0</v>
      </c>
      <c r="E155" s="1">
        <f>+IF(B155=Resumen!$C$38*6-6,1,0)</f>
        <v>0</v>
      </c>
      <c r="F155" s="1">
        <f>+IFERROR(HLOOKUP($B155,Resumen!$F$3:$AM$14,12),0)</f>
        <v>0</v>
      </c>
      <c r="G155" s="17">
        <f t="shared" si="45"/>
        <v>5.8207660913467407E-11</v>
      </c>
      <c r="H155" s="17">
        <f>IF(X155="",0,IF(F155=0,ROUND(SUM(J$2:J155)*X155,2),0))</f>
        <v>0</v>
      </c>
      <c r="I155" s="17">
        <f t="shared" si="31"/>
        <v>0</v>
      </c>
      <c r="J155" s="17">
        <f>(Resumen!$C$10*(1-Resumen!$C$24)*(1+Incmat)^5)*C155</f>
        <v>0</v>
      </c>
      <c r="K155" s="17">
        <f>+IF(F155=1,PMT(X155,(Resumen!$C$36+Resumen!$C$26+Resumen!$C$14*6-B155+1),-Amortizacion!G155),0)</f>
        <v>0</v>
      </c>
      <c r="L155" s="17">
        <f t="shared" si="33"/>
        <v>0</v>
      </c>
      <c r="M155" s="17">
        <f>+IF(Resumen!$C$20="no",H155,0)</f>
        <v>0</v>
      </c>
      <c r="N155" s="17">
        <f t="shared" si="34"/>
        <v>5.8207660913467407E-11</v>
      </c>
      <c r="O155" s="17">
        <f>+IF(AND(Resumen!$C$18="SI",Amortizacion!E155=1),SUM($H$2:J155)*25%,0)</f>
        <v>0</v>
      </c>
      <c r="P155" s="1">
        <f t="shared" si="42"/>
        <v>0</v>
      </c>
      <c r="Q155" s="17">
        <f t="shared" si="43"/>
        <v>0</v>
      </c>
      <c r="R155" s="17">
        <f t="shared" si="35"/>
        <v>0</v>
      </c>
      <c r="S155" s="17">
        <f>(Resumen!$C$10*(Resumen!$C$24)*(1+Incmat)^5)*$C155</f>
        <v>0</v>
      </c>
      <c r="T155" s="21">
        <f t="shared" si="36"/>
        <v>0</v>
      </c>
      <c r="U155" s="17">
        <f t="shared" si="37"/>
        <v>0</v>
      </c>
      <c r="V155" s="17">
        <f t="shared" si="38"/>
        <v>0</v>
      </c>
      <c r="W155" s="17">
        <f t="shared" si="44"/>
        <v>5.8207660913467407E-11</v>
      </c>
      <c r="X155" s="15" t="str">
        <f>+IF(B155="","",Resumen!$C$34)</f>
        <v/>
      </c>
      <c r="Y155" s="16">
        <f t="shared" si="32"/>
        <v>0</v>
      </c>
      <c r="Z155" s="20">
        <f t="shared" si="39"/>
        <v>0</v>
      </c>
      <c r="AA155" s="20">
        <f t="shared" si="40"/>
        <v>0</v>
      </c>
      <c r="AB155" s="20">
        <f>+IF(Resumen!$C$8="no",0,W155*((1+10%)^(0.0833333333333333)-1))</f>
        <v>0</v>
      </c>
    </row>
    <row r="156" spans="1:28" x14ac:dyDescent="0.35">
      <c r="A156">
        <f t="shared" si="41"/>
        <v>155</v>
      </c>
      <c r="B156" t="str">
        <f>+IF(A156&gt;Resumen!$C$40,"",A156)</f>
        <v/>
      </c>
      <c r="C156" s="1">
        <f>+IFERROR(HLOOKUP($B156,Resumen!$F$3:$AM$10,8,0),0)</f>
        <v>0</v>
      </c>
      <c r="D156" s="1">
        <f>+IFERROR(HLOOKUP($B156,Resumen!$F$3:$AM$12,10),0)</f>
        <v>0</v>
      </c>
      <c r="E156" s="1">
        <f>+IF(B156=Resumen!$C$38*6-6,1,0)</f>
        <v>0</v>
      </c>
      <c r="F156" s="1">
        <f>+IFERROR(HLOOKUP($B156,Resumen!$F$3:$AM$14,12),0)</f>
        <v>0</v>
      </c>
      <c r="G156" s="17">
        <f t="shared" si="45"/>
        <v>5.8207660913467407E-11</v>
      </c>
      <c r="H156" s="17">
        <f>IF(X156="",0,IF(F156=0,ROUND(SUM(J$2:J156)*X156,2),0))</f>
        <v>0</v>
      </c>
      <c r="I156" s="17">
        <f t="shared" si="31"/>
        <v>0</v>
      </c>
      <c r="J156" s="17">
        <f>(Resumen!$C$10*(1-Resumen!$C$24)*(1+Incmat)^5)*C156</f>
        <v>0</v>
      </c>
      <c r="K156" s="17">
        <f>+IF(F156=1,PMT(X156,(Resumen!$C$36+Resumen!$C$26+Resumen!$C$14*6-B156+1),-Amortizacion!G156),0)</f>
        <v>0</v>
      </c>
      <c r="L156" s="17">
        <f t="shared" si="33"/>
        <v>0</v>
      </c>
      <c r="M156" s="17">
        <f>+IF(Resumen!$C$20="no",H156,0)</f>
        <v>0</v>
      </c>
      <c r="N156" s="17">
        <f t="shared" si="34"/>
        <v>5.8207660913467407E-11</v>
      </c>
      <c r="O156" s="17">
        <f>+IF(AND(Resumen!$C$18="SI",Amortizacion!E156=1),SUM($H$2:J156)*25%,0)</f>
        <v>0</v>
      </c>
      <c r="P156" s="1">
        <f t="shared" si="42"/>
        <v>0</v>
      </c>
      <c r="Q156" s="17">
        <f t="shared" si="43"/>
        <v>0</v>
      </c>
      <c r="R156" s="17">
        <f t="shared" si="35"/>
        <v>0</v>
      </c>
      <c r="S156" s="17">
        <f>(Resumen!$C$10*(Resumen!$C$24)*(1+Incmat)^5)*$C156</f>
        <v>0</v>
      </c>
      <c r="T156" s="21">
        <f t="shared" si="36"/>
        <v>0</v>
      </c>
      <c r="U156" s="17">
        <f t="shared" si="37"/>
        <v>0</v>
      </c>
      <c r="V156" s="17">
        <f t="shared" si="38"/>
        <v>0</v>
      </c>
      <c r="W156" s="17">
        <f t="shared" si="44"/>
        <v>5.8207660913467407E-11</v>
      </c>
      <c r="X156" s="15" t="str">
        <f>+IF(B156="","",Resumen!$C$34)</f>
        <v/>
      </c>
      <c r="Y156" s="16">
        <f t="shared" si="32"/>
        <v>0</v>
      </c>
      <c r="Z156" s="20">
        <f t="shared" si="39"/>
        <v>0</v>
      </c>
      <c r="AA156" s="20">
        <f t="shared" si="40"/>
        <v>0</v>
      </c>
      <c r="AB156" s="20">
        <f>+IF(Resumen!$C$8="no",0,W156*((1+10%)^(0.0833333333333333)-1))</f>
        <v>0</v>
      </c>
    </row>
    <row r="157" spans="1:28" x14ac:dyDescent="0.35">
      <c r="A157">
        <f t="shared" si="41"/>
        <v>156</v>
      </c>
      <c r="B157" t="str">
        <f>+IF(A157&gt;Resumen!$C$40,"",A157)</f>
        <v/>
      </c>
      <c r="C157" s="1">
        <f>+IFERROR(HLOOKUP($B157,Resumen!$F$3:$AM$10,8,0),0)</f>
        <v>0</v>
      </c>
      <c r="D157" s="1">
        <f>+IFERROR(HLOOKUP($B157,Resumen!$F$3:$AM$12,10),0)</f>
        <v>0</v>
      </c>
      <c r="E157" s="1">
        <f>+IF(B157=Resumen!$C$38*6-6,1,0)</f>
        <v>0</v>
      </c>
      <c r="F157" s="1">
        <f>+IFERROR(HLOOKUP($B157,Resumen!$F$3:$AM$14,12),0)</f>
        <v>0</v>
      </c>
      <c r="G157" s="17">
        <f t="shared" si="45"/>
        <v>5.8207660913467407E-11</v>
      </c>
      <c r="H157" s="17">
        <f>IF(X157="",0,IF(F157=0,ROUND(SUM(J$2:J157)*X157,2),0))</f>
        <v>0</v>
      </c>
      <c r="I157" s="17">
        <f t="shared" si="31"/>
        <v>0</v>
      </c>
      <c r="J157" s="17">
        <f>(Resumen!$C$10*(1-Resumen!$C$24)*(1+Incmat)^5)*C157</f>
        <v>0</v>
      </c>
      <c r="K157" s="17">
        <f>+IF(F157=1,PMT(X157,(Resumen!$C$36+Resumen!$C$26+Resumen!$C$14*6-B157+1),-Amortizacion!G157),0)</f>
        <v>0</v>
      </c>
      <c r="L157" s="17">
        <f t="shared" si="33"/>
        <v>0</v>
      </c>
      <c r="M157" s="17">
        <f>+IF(Resumen!$C$20="no",H157,0)</f>
        <v>0</v>
      </c>
      <c r="N157" s="17">
        <f t="shared" si="34"/>
        <v>5.8207660913467407E-11</v>
      </c>
      <c r="O157" s="17">
        <f>+IF(AND(Resumen!$C$18="SI",Amortizacion!E157=1),SUM($H$2:J157)*25%,0)</f>
        <v>0</v>
      </c>
      <c r="P157" s="1">
        <f t="shared" si="42"/>
        <v>0</v>
      </c>
      <c r="Q157" s="17">
        <f t="shared" si="43"/>
        <v>0</v>
      </c>
      <c r="R157" s="17">
        <f t="shared" si="35"/>
        <v>0</v>
      </c>
      <c r="S157" s="17">
        <f>(Resumen!$C$10*(Resumen!$C$24)*(1+Incmat)^5)*$C157</f>
        <v>0</v>
      </c>
      <c r="T157" s="21">
        <f t="shared" si="36"/>
        <v>0</v>
      </c>
      <c r="U157" s="17">
        <f t="shared" si="37"/>
        <v>0</v>
      </c>
      <c r="V157" s="17">
        <f t="shared" si="38"/>
        <v>0</v>
      </c>
      <c r="W157" s="17">
        <f t="shared" si="44"/>
        <v>5.8207660913467407E-11</v>
      </c>
      <c r="X157" s="15" t="str">
        <f>+IF(B157="","",Resumen!$C$34)</f>
        <v/>
      </c>
      <c r="Y157" s="16">
        <f t="shared" si="32"/>
        <v>0</v>
      </c>
      <c r="Z157" s="20">
        <f t="shared" si="39"/>
        <v>0</v>
      </c>
      <c r="AA157" s="20">
        <f t="shared" si="40"/>
        <v>0</v>
      </c>
      <c r="AB157" s="20">
        <f>+IF(Resumen!$C$8="no",0,W157*((1+10%)^(0.0833333333333333)-1))</f>
        <v>0</v>
      </c>
    </row>
    <row r="158" spans="1:28" x14ac:dyDescent="0.35">
      <c r="A158">
        <f t="shared" si="41"/>
        <v>157</v>
      </c>
      <c r="B158" t="str">
        <f>+IF(A158&gt;Resumen!$C$40,"",A158)</f>
        <v/>
      </c>
      <c r="C158" s="1">
        <f>+IFERROR(HLOOKUP($B158,Resumen!$F$3:$AM$10,8,0),0)</f>
        <v>0</v>
      </c>
      <c r="D158" s="1">
        <f>+IFERROR(HLOOKUP($B158,Resumen!$F$3:$AM$12,10),0)</f>
        <v>0</v>
      </c>
      <c r="E158" s="1">
        <f>+IF(B158=Resumen!$C$38*6-6,1,0)</f>
        <v>0</v>
      </c>
      <c r="F158" s="1">
        <f>+IFERROR(HLOOKUP($B158,Resumen!$F$3:$AM$14,12),0)</f>
        <v>0</v>
      </c>
      <c r="G158" s="17">
        <f t="shared" si="45"/>
        <v>5.8207660913467407E-11</v>
      </c>
      <c r="H158" s="17">
        <f>IF(X158="",0,IF(F158=0,ROUND(SUM(J$2:J158)*X158,2),0))</f>
        <v>0</v>
      </c>
      <c r="I158" s="17">
        <f t="shared" si="31"/>
        <v>0</v>
      </c>
      <c r="J158" s="17">
        <f>(Resumen!$C$10*(1-Resumen!$C$24)*(1+Incmat)^5)*C158</f>
        <v>0</v>
      </c>
      <c r="K158" s="17">
        <f>+IF(F158=1,PMT(X158,(Resumen!$C$36+Resumen!$C$26+Resumen!$C$14*6-B158+1),-Amortizacion!G158),0)</f>
        <v>0</v>
      </c>
      <c r="L158" s="17">
        <f t="shared" si="33"/>
        <v>0</v>
      </c>
      <c r="M158" s="17">
        <f>+IF(Resumen!$C$20="no",H158,0)</f>
        <v>0</v>
      </c>
      <c r="N158" s="17">
        <f t="shared" si="34"/>
        <v>5.8207660913467407E-11</v>
      </c>
      <c r="O158" s="17">
        <f>+IF(AND(Resumen!$C$18="SI",Amortizacion!E158=1),SUM($H$2:J158)*25%,0)</f>
        <v>0</v>
      </c>
      <c r="P158" s="1">
        <f t="shared" si="42"/>
        <v>0</v>
      </c>
      <c r="Q158" s="17">
        <f t="shared" si="43"/>
        <v>0</v>
      </c>
      <c r="R158" s="17">
        <f t="shared" si="35"/>
        <v>0</v>
      </c>
      <c r="S158" s="17">
        <f>(Resumen!$C$10*(Resumen!$C$24)*(1+Incmat)^5)*$C158</f>
        <v>0</v>
      </c>
      <c r="T158" s="21">
        <f t="shared" si="36"/>
        <v>0</v>
      </c>
      <c r="U158" s="17">
        <f t="shared" si="37"/>
        <v>0</v>
      </c>
      <c r="V158" s="17">
        <f t="shared" si="38"/>
        <v>0</v>
      </c>
      <c r="W158" s="17">
        <f t="shared" si="44"/>
        <v>5.8207660913467407E-11</v>
      </c>
      <c r="X158" s="15" t="str">
        <f>+IF(B158="","",Resumen!$C$34)</f>
        <v/>
      </c>
      <c r="Y158" s="16">
        <f t="shared" si="32"/>
        <v>0</v>
      </c>
      <c r="Z158" s="20">
        <f t="shared" si="39"/>
        <v>0</v>
      </c>
      <c r="AA158" s="20">
        <f t="shared" si="40"/>
        <v>0</v>
      </c>
      <c r="AB158" s="20">
        <f>+IF(Resumen!$C$8="no",0,W158*((1+10%)^(0.0833333333333333)-1))</f>
        <v>0</v>
      </c>
    </row>
    <row r="159" spans="1:28" x14ac:dyDescent="0.35">
      <c r="A159">
        <f t="shared" si="41"/>
        <v>158</v>
      </c>
      <c r="B159" t="str">
        <f>+IF(A159&gt;Resumen!$C$40,"",A159)</f>
        <v/>
      </c>
      <c r="C159" s="1">
        <f>+IFERROR(HLOOKUP($B159,Resumen!$F$3:$AM$10,8,0),0)</f>
        <v>0</v>
      </c>
      <c r="D159" s="1">
        <f>+IFERROR(HLOOKUP($B159,Resumen!$F$3:$AM$12,10),0)</f>
        <v>0</v>
      </c>
      <c r="E159" s="1">
        <f>+IF(B159=Resumen!$C$38*6-6,1,0)</f>
        <v>0</v>
      </c>
      <c r="F159" s="1">
        <f>+IFERROR(HLOOKUP($B159,Resumen!$F$3:$AM$14,12),0)</f>
        <v>0</v>
      </c>
      <c r="G159" s="17">
        <f t="shared" si="45"/>
        <v>5.8207660913467407E-11</v>
      </c>
      <c r="H159" s="17">
        <f>IF(X159="",0,IF(F159=0,ROUND(SUM(J$2:J159)*X159,2),0))</f>
        <v>0</v>
      </c>
      <c r="I159" s="17">
        <f t="shared" si="31"/>
        <v>0</v>
      </c>
      <c r="J159" s="17">
        <f>(Resumen!$C$10*(1-Resumen!$C$24)*(1+Incmat)^5)*C159</f>
        <v>0</v>
      </c>
      <c r="K159" s="17">
        <f>+IF(F159=1,PMT(X159,(Resumen!$C$36+Resumen!$C$26+Resumen!$C$14*6-B159+1),-Amortizacion!G159),0)</f>
        <v>0</v>
      </c>
      <c r="L159" s="17">
        <f t="shared" si="33"/>
        <v>0</v>
      </c>
      <c r="M159" s="17">
        <f>+IF(Resumen!$C$20="no",H159,0)</f>
        <v>0</v>
      </c>
      <c r="N159" s="17">
        <f t="shared" si="34"/>
        <v>5.8207660913467407E-11</v>
      </c>
      <c r="O159" s="17">
        <f>+IF(AND(Resumen!$C$18="SI",Amortizacion!E159=1),SUM($H$2:J159)*25%,0)</f>
        <v>0</v>
      </c>
      <c r="P159" s="1">
        <f t="shared" si="42"/>
        <v>0</v>
      </c>
      <c r="Q159" s="17">
        <f t="shared" si="43"/>
        <v>0</v>
      </c>
      <c r="R159" s="17">
        <f t="shared" si="35"/>
        <v>0</v>
      </c>
      <c r="S159" s="17">
        <f>(Resumen!$C$10*(Resumen!$C$24)*(1+Incmat)^5)*$C159</f>
        <v>0</v>
      </c>
      <c r="T159" s="21">
        <f t="shared" si="36"/>
        <v>0</v>
      </c>
      <c r="U159" s="17">
        <f t="shared" si="37"/>
        <v>0</v>
      </c>
      <c r="V159" s="17">
        <f t="shared" si="38"/>
        <v>0</v>
      </c>
      <c r="W159" s="17">
        <f t="shared" si="44"/>
        <v>5.8207660913467407E-11</v>
      </c>
      <c r="X159" s="15" t="str">
        <f>+IF(B159="","",Resumen!$C$34)</f>
        <v/>
      </c>
      <c r="Y159" s="16">
        <f t="shared" si="32"/>
        <v>0</v>
      </c>
      <c r="Z159" s="20">
        <f t="shared" si="39"/>
        <v>0</v>
      </c>
      <c r="AA159" s="20">
        <f t="shared" si="40"/>
        <v>0</v>
      </c>
      <c r="AB159" s="20">
        <f>+IF(Resumen!$C$8="no",0,W159*((1+10%)^(0.0833333333333333)-1))</f>
        <v>0</v>
      </c>
    </row>
    <row r="160" spans="1:28" x14ac:dyDescent="0.35">
      <c r="A160">
        <f t="shared" si="41"/>
        <v>159</v>
      </c>
      <c r="B160" t="str">
        <f>+IF(A160&gt;Resumen!$C$40,"",A160)</f>
        <v/>
      </c>
      <c r="C160" s="1">
        <f>+IFERROR(HLOOKUP($B160,Resumen!$F$3:$AM$10,8,0),0)</f>
        <v>0</v>
      </c>
      <c r="D160" s="1">
        <f>+IFERROR(HLOOKUP($B160,Resumen!$F$3:$AM$12,10),0)</f>
        <v>0</v>
      </c>
      <c r="E160" s="1">
        <f>+IF(B160=Resumen!$C$38*6-6,1,0)</f>
        <v>0</v>
      </c>
      <c r="F160" s="1">
        <f>+IFERROR(HLOOKUP($B160,Resumen!$F$3:$AM$14,12),0)</f>
        <v>0</v>
      </c>
      <c r="G160" s="17">
        <f t="shared" si="45"/>
        <v>5.8207660913467407E-11</v>
      </c>
      <c r="H160" s="17">
        <f>IF(X160="",0,IF(F160=0,ROUND(SUM(J$2:J160)*X160,2),0))</f>
        <v>0</v>
      </c>
      <c r="I160" s="17">
        <f t="shared" si="31"/>
        <v>0</v>
      </c>
      <c r="J160" s="17">
        <f>(Resumen!$C$10*(1-Resumen!$C$24)*(1+Incmat)^5)*C160</f>
        <v>0</v>
      </c>
      <c r="K160" s="17">
        <f>+IF(F160=1,PMT(X160,(Resumen!$C$36+Resumen!$C$26+Resumen!$C$14*6-B160+1),-Amortizacion!G160),0)</f>
        <v>0</v>
      </c>
      <c r="L160" s="17">
        <f t="shared" si="33"/>
        <v>0</v>
      </c>
      <c r="M160" s="17">
        <f>+IF(Resumen!$C$20="no",H160,0)</f>
        <v>0</v>
      </c>
      <c r="N160" s="17">
        <f t="shared" si="34"/>
        <v>5.8207660913467407E-11</v>
      </c>
      <c r="O160" s="17">
        <f>+IF(AND(Resumen!$C$18="SI",Amortizacion!E160=1),SUM($H$2:J160)*25%,0)</f>
        <v>0</v>
      </c>
      <c r="P160" s="1">
        <f t="shared" si="42"/>
        <v>0</v>
      </c>
      <c r="Q160" s="17">
        <f t="shared" si="43"/>
        <v>0</v>
      </c>
      <c r="R160" s="17">
        <f t="shared" si="35"/>
        <v>0</v>
      </c>
      <c r="S160" s="17">
        <f>(Resumen!$C$10*(Resumen!$C$24)*(1+Incmat)^5)*$C160</f>
        <v>0</v>
      </c>
      <c r="T160" s="21">
        <f t="shared" si="36"/>
        <v>0</v>
      </c>
      <c r="U160" s="17">
        <f t="shared" si="37"/>
        <v>0</v>
      </c>
      <c r="V160" s="17">
        <f t="shared" si="38"/>
        <v>0</v>
      </c>
      <c r="W160" s="17">
        <f t="shared" si="44"/>
        <v>5.8207660913467407E-11</v>
      </c>
      <c r="X160" s="15" t="str">
        <f>+IF(B160="","",Resumen!$C$34)</f>
        <v/>
      </c>
      <c r="Y160" s="16">
        <f t="shared" si="32"/>
        <v>0</v>
      </c>
      <c r="Z160" s="20">
        <f t="shared" si="39"/>
        <v>0</v>
      </c>
      <c r="AA160" s="20">
        <f t="shared" si="40"/>
        <v>0</v>
      </c>
      <c r="AB160" s="20">
        <f>+IF(Resumen!$C$8="no",0,W160*((1+10%)^(0.0833333333333333)-1))</f>
        <v>0</v>
      </c>
    </row>
    <row r="161" spans="1:28" x14ac:dyDescent="0.35">
      <c r="A161">
        <f t="shared" si="41"/>
        <v>160</v>
      </c>
      <c r="B161" t="str">
        <f>+IF(A161&gt;Resumen!$C$40,"",A161)</f>
        <v/>
      </c>
      <c r="C161" s="1">
        <f>+IFERROR(HLOOKUP($B161,Resumen!$F$3:$AM$10,8,0),0)</f>
        <v>0</v>
      </c>
      <c r="D161" s="1">
        <f>+IFERROR(HLOOKUP($B161,Resumen!$F$3:$AM$12,10),0)</f>
        <v>0</v>
      </c>
      <c r="E161" s="1">
        <f>+IF(B161=Resumen!$C$38*6-6,1,0)</f>
        <v>0</v>
      </c>
      <c r="F161" s="1">
        <f>+IFERROR(HLOOKUP($B161,Resumen!$F$3:$AM$14,12),0)</f>
        <v>0</v>
      </c>
      <c r="G161" s="17">
        <f t="shared" si="45"/>
        <v>5.8207660913467407E-11</v>
      </c>
      <c r="H161" s="17">
        <f>IF(X161="",0,IF(F161=0,ROUND(SUM(J$2:J161)*X161,2),0))</f>
        <v>0</v>
      </c>
      <c r="I161" s="17">
        <f t="shared" si="31"/>
        <v>0</v>
      </c>
      <c r="J161" s="17">
        <f>(Resumen!$C$10*(1-Resumen!$C$24)*(1+Incmat)^5)*C161</f>
        <v>0</v>
      </c>
      <c r="K161" s="17">
        <f>+IF(F161=1,PMT(X161,(Resumen!$C$36+Resumen!$C$26+Resumen!$C$14*6-B161+1),-Amortizacion!G161),0)</f>
        <v>0</v>
      </c>
      <c r="L161" s="17">
        <f t="shared" si="33"/>
        <v>0</v>
      </c>
      <c r="M161" s="17">
        <f>+IF(Resumen!$C$20="no",H161,0)</f>
        <v>0</v>
      </c>
      <c r="N161" s="17">
        <f t="shared" si="34"/>
        <v>5.8207660913467407E-11</v>
      </c>
      <c r="O161" s="17">
        <f>+IF(AND(Resumen!$C$18="SI",Amortizacion!E161=1),SUM($H$2:J161)*25%,0)</f>
        <v>0</v>
      </c>
      <c r="P161" s="1">
        <f t="shared" si="42"/>
        <v>0</v>
      </c>
      <c r="Q161" s="17">
        <f t="shared" si="43"/>
        <v>0</v>
      </c>
      <c r="R161" s="17">
        <f t="shared" si="35"/>
        <v>0</v>
      </c>
      <c r="S161" s="17">
        <f>(Resumen!$C$10*(Resumen!$C$24)*(1+Incmat)^5)*$C161</f>
        <v>0</v>
      </c>
      <c r="T161" s="21">
        <f t="shared" si="36"/>
        <v>0</v>
      </c>
      <c r="U161" s="17">
        <f t="shared" si="37"/>
        <v>0</v>
      </c>
      <c r="V161" s="17">
        <f t="shared" si="38"/>
        <v>0</v>
      </c>
      <c r="W161" s="17">
        <f t="shared" si="44"/>
        <v>5.8207660913467407E-11</v>
      </c>
      <c r="X161" s="15" t="str">
        <f>+IF(B161="","",Resumen!$C$34)</f>
        <v/>
      </c>
      <c r="Y161" s="16">
        <f t="shared" si="32"/>
        <v>0</v>
      </c>
      <c r="Z161" s="20">
        <f t="shared" si="39"/>
        <v>0</v>
      </c>
      <c r="AA161" s="20">
        <f t="shared" si="40"/>
        <v>0</v>
      </c>
      <c r="AB161" s="20">
        <f>+IF(Resumen!$C$8="no",0,W161*((1+10%)^(0.0833333333333333)-1))</f>
        <v>0</v>
      </c>
    </row>
    <row r="162" spans="1:28" x14ac:dyDescent="0.35">
      <c r="A162">
        <f t="shared" si="41"/>
        <v>161</v>
      </c>
      <c r="B162" t="str">
        <f>+IF(A162&gt;Resumen!$C$40,"",A162)</f>
        <v/>
      </c>
      <c r="C162" s="1">
        <f>+IFERROR(HLOOKUP($B162,Resumen!$F$3:$AM$10,8,0),0)</f>
        <v>0</v>
      </c>
      <c r="D162" s="1">
        <f>+IFERROR(HLOOKUP($B162,Resumen!$F$3:$AM$12,10),0)</f>
        <v>0</v>
      </c>
      <c r="E162" s="1">
        <f>+IF(B162=Resumen!$C$38*6-6,1,0)</f>
        <v>0</v>
      </c>
      <c r="F162" s="1">
        <f>+IFERROR(HLOOKUP($B162,Resumen!$F$3:$AM$14,12),0)</f>
        <v>0</v>
      </c>
      <c r="G162" s="17">
        <f t="shared" si="45"/>
        <v>5.8207660913467407E-11</v>
      </c>
      <c r="H162" s="17">
        <f>IF(X162="",0,IF(F162=0,ROUND(SUM(J$2:J162)*X162,2),0))</f>
        <v>0</v>
      </c>
      <c r="I162" s="17">
        <f t="shared" si="31"/>
        <v>0</v>
      </c>
      <c r="J162" s="17">
        <f>(Resumen!$C$10*(1-Resumen!$C$24)*(1+Incmat)^5)*C162</f>
        <v>0</v>
      </c>
      <c r="K162" s="17">
        <f>+IF(F162=1,PMT(X162,(Resumen!$C$36+Resumen!$C$26+Resumen!$C$14*6-B162+1),-Amortizacion!G162),0)</f>
        <v>0</v>
      </c>
      <c r="L162" s="17">
        <f t="shared" si="33"/>
        <v>0</v>
      </c>
      <c r="M162" s="17">
        <f>+IF(Resumen!$C$20="no",H162,0)</f>
        <v>0</v>
      </c>
      <c r="N162" s="17">
        <f t="shared" si="34"/>
        <v>5.8207660913467407E-11</v>
      </c>
      <c r="O162" s="17">
        <f>+IF(AND(Resumen!$C$18="SI",Amortizacion!E162=1),SUM($H$2:J162)*25%,0)</f>
        <v>0</v>
      </c>
      <c r="P162" s="1">
        <f t="shared" si="42"/>
        <v>0</v>
      </c>
      <c r="Q162" s="17">
        <f t="shared" si="43"/>
        <v>0</v>
      </c>
      <c r="R162" s="17">
        <f t="shared" si="35"/>
        <v>0</v>
      </c>
      <c r="S162" s="17">
        <f>(Resumen!$C$10*(Resumen!$C$24)*(1+Incmat)^5)*$C162</f>
        <v>0</v>
      </c>
      <c r="T162" s="21">
        <f t="shared" si="36"/>
        <v>0</v>
      </c>
      <c r="U162" s="17">
        <f t="shared" si="37"/>
        <v>0</v>
      </c>
      <c r="V162" s="17">
        <f t="shared" si="38"/>
        <v>0</v>
      </c>
      <c r="W162" s="17">
        <f t="shared" si="44"/>
        <v>5.8207660913467407E-11</v>
      </c>
      <c r="X162" s="15" t="str">
        <f>+IF(B162="","",Resumen!$C$34)</f>
        <v/>
      </c>
      <c r="Y162" s="16">
        <f t="shared" si="32"/>
        <v>0</v>
      </c>
      <c r="Z162" s="20">
        <f t="shared" si="39"/>
        <v>0</v>
      </c>
      <c r="AA162" s="20">
        <f t="shared" si="40"/>
        <v>0</v>
      </c>
      <c r="AB162" s="20">
        <f>+IF(Resumen!$C$8="no",0,W162*((1+10%)^(0.0833333333333333)-1))</f>
        <v>0</v>
      </c>
    </row>
    <row r="163" spans="1:28" x14ac:dyDescent="0.35">
      <c r="A163">
        <f t="shared" si="41"/>
        <v>162</v>
      </c>
      <c r="B163" t="str">
        <f>+IF(A163&gt;Resumen!$C$40,"",A163)</f>
        <v/>
      </c>
      <c r="C163" s="1">
        <f>+IFERROR(HLOOKUP($B163,Resumen!$F$3:$AM$10,8,0),0)</f>
        <v>0</v>
      </c>
      <c r="D163" s="1">
        <f>+IFERROR(HLOOKUP($B163,Resumen!$F$3:$AM$12,10),0)</f>
        <v>0</v>
      </c>
      <c r="E163" s="1">
        <f>+IF(B163=Resumen!$C$38*6-6,1,0)</f>
        <v>0</v>
      </c>
      <c r="F163" s="1">
        <f>+IFERROR(HLOOKUP($B163,Resumen!$F$3:$AM$14,12),0)</f>
        <v>0</v>
      </c>
      <c r="G163" s="17">
        <f t="shared" si="45"/>
        <v>5.8207660913467407E-11</v>
      </c>
      <c r="H163" s="17">
        <f>IF(X163="",0,IF(F163=0,ROUND(SUM(J$2:J163)*X163,2),0))</f>
        <v>0</v>
      </c>
      <c r="I163" s="17">
        <f t="shared" si="31"/>
        <v>0</v>
      </c>
      <c r="J163" s="17">
        <f>(Resumen!$C$10*(1-Resumen!$C$24)*(1+Incmat)^5)*C163</f>
        <v>0</v>
      </c>
      <c r="K163" s="17">
        <f>+IF(F163=1,PMT(X163,(Resumen!$C$36+Resumen!$C$26+Resumen!$C$14*6-B163+1),-Amortizacion!G163),0)</f>
        <v>0</v>
      </c>
      <c r="L163" s="17">
        <f t="shared" si="33"/>
        <v>0</v>
      </c>
      <c r="M163" s="17">
        <f>+IF(Resumen!$C$20="no",H163,0)</f>
        <v>0</v>
      </c>
      <c r="N163" s="17">
        <f t="shared" si="34"/>
        <v>5.8207660913467407E-11</v>
      </c>
      <c r="O163" s="17">
        <f>+IF(AND(Resumen!$C$18="SI",Amortizacion!E163=1),SUM($H$2:J163)*25%,0)</f>
        <v>0</v>
      </c>
      <c r="P163" s="1">
        <f t="shared" si="42"/>
        <v>0</v>
      </c>
      <c r="Q163" s="17">
        <f t="shared" si="43"/>
        <v>0</v>
      </c>
      <c r="R163" s="17">
        <f t="shared" si="35"/>
        <v>0</v>
      </c>
      <c r="S163" s="17">
        <f>(Resumen!$C$10*(Resumen!$C$24)*(1+Incmat)^5)*$C163</f>
        <v>0</v>
      </c>
      <c r="T163" s="21">
        <f t="shared" si="36"/>
        <v>0</v>
      </c>
      <c r="U163" s="17">
        <f t="shared" si="37"/>
        <v>0</v>
      </c>
      <c r="V163" s="17">
        <f t="shared" si="38"/>
        <v>0</v>
      </c>
      <c r="W163" s="17">
        <f t="shared" si="44"/>
        <v>5.8207660913467407E-11</v>
      </c>
      <c r="X163" s="15" t="str">
        <f>+IF(B163="","",Resumen!$C$34)</f>
        <v/>
      </c>
      <c r="Y163" s="16">
        <f t="shared" si="32"/>
        <v>0</v>
      </c>
      <c r="Z163" s="20">
        <f t="shared" si="39"/>
        <v>0</v>
      </c>
      <c r="AA163" s="20">
        <f t="shared" si="40"/>
        <v>0</v>
      </c>
      <c r="AB163" s="20">
        <f>+IF(Resumen!$C$8="no",0,W163*((1+10%)^(0.0833333333333333)-1))</f>
        <v>0</v>
      </c>
    </row>
    <row r="164" spans="1:28" x14ac:dyDescent="0.35">
      <c r="A164">
        <f t="shared" si="41"/>
        <v>163</v>
      </c>
      <c r="B164" t="str">
        <f>+IF(A164&gt;Resumen!$C$40,"",A164)</f>
        <v/>
      </c>
      <c r="C164" s="1">
        <f>+IFERROR(HLOOKUP($B164,Resumen!$F$3:$AM$10,8,0),0)</f>
        <v>0</v>
      </c>
      <c r="D164" s="1">
        <f>+IFERROR(HLOOKUP($B164,Resumen!$F$3:$AM$12,10),0)</f>
        <v>0</v>
      </c>
      <c r="E164" s="1">
        <f>+IF(B164=Resumen!$C$38*6-6,1,0)</f>
        <v>0</v>
      </c>
      <c r="F164" s="1">
        <f>+IFERROR(HLOOKUP($B164,Resumen!$F$3:$AM$14,12),0)</f>
        <v>0</v>
      </c>
      <c r="G164" s="17">
        <f t="shared" si="45"/>
        <v>5.8207660913467407E-11</v>
      </c>
      <c r="H164" s="17">
        <f>IF(X164="",0,IF(F164=0,ROUND(SUM(J$2:J164)*X164,2),0))</f>
        <v>0</v>
      </c>
      <c r="I164" s="17">
        <f t="shared" si="31"/>
        <v>0</v>
      </c>
      <c r="J164" s="17">
        <f>(Resumen!$C$10*(1-Resumen!$C$24)*(1+Incmat)^5)*C164</f>
        <v>0</v>
      </c>
      <c r="K164" s="17">
        <f>+IF(F164=1,PMT(X164,(Resumen!$C$36+Resumen!$C$26+Resumen!$C$14*6-B164+1),-Amortizacion!G164),0)</f>
        <v>0</v>
      </c>
      <c r="L164" s="17">
        <f t="shared" si="33"/>
        <v>0</v>
      </c>
      <c r="M164" s="17">
        <f>+IF(Resumen!$C$20="no",H164,0)</f>
        <v>0</v>
      </c>
      <c r="N164" s="17">
        <f t="shared" si="34"/>
        <v>5.8207660913467407E-11</v>
      </c>
      <c r="O164" s="17">
        <f>+IF(AND(Resumen!$C$18="SI",Amortizacion!E164=1),SUM($H$2:J164)*25%,0)</f>
        <v>0</v>
      </c>
      <c r="P164" s="1">
        <f t="shared" si="42"/>
        <v>0</v>
      </c>
      <c r="Q164" s="17">
        <f t="shared" si="43"/>
        <v>0</v>
      </c>
      <c r="R164" s="17">
        <f t="shared" si="35"/>
        <v>0</v>
      </c>
      <c r="S164" s="17">
        <f>(Resumen!$C$10*(Resumen!$C$24)*(1+Incmat)^5)*$C164</f>
        <v>0</v>
      </c>
      <c r="T164" s="21">
        <f t="shared" si="36"/>
        <v>0</v>
      </c>
      <c r="U164" s="17">
        <f t="shared" si="37"/>
        <v>0</v>
      </c>
      <c r="V164" s="17">
        <f t="shared" si="38"/>
        <v>0</v>
      </c>
      <c r="W164" s="17">
        <f t="shared" si="44"/>
        <v>5.8207660913467407E-11</v>
      </c>
      <c r="X164" s="15" t="str">
        <f>+IF(B164="","",Resumen!$C$34)</f>
        <v/>
      </c>
      <c r="Y164" s="16">
        <f t="shared" si="32"/>
        <v>0</v>
      </c>
      <c r="Z164" s="20">
        <f t="shared" si="39"/>
        <v>0</v>
      </c>
      <c r="AA164" s="20">
        <f t="shared" si="40"/>
        <v>0</v>
      </c>
      <c r="AB164" s="20">
        <f>+IF(Resumen!$C$8="no",0,W164*((1+10%)^(0.0833333333333333)-1))</f>
        <v>0</v>
      </c>
    </row>
    <row r="165" spans="1:28" x14ac:dyDescent="0.35">
      <c r="A165">
        <f t="shared" si="41"/>
        <v>164</v>
      </c>
      <c r="B165" t="str">
        <f>+IF(A165&gt;Resumen!$C$40,"",A165)</f>
        <v/>
      </c>
      <c r="C165" s="1">
        <f>+IFERROR(HLOOKUP($B165,Resumen!$F$3:$AM$10,8,0),0)</f>
        <v>0</v>
      </c>
      <c r="D165" s="1">
        <f>+IFERROR(HLOOKUP($B165,Resumen!$F$3:$AM$12,10),0)</f>
        <v>0</v>
      </c>
      <c r="E165" s="1">
        <f>+IF(B165=Resumen!$C$38*6-6,1,0)</f>
        <v>0</v>
      </c>
      <c r="F165" s="1">
        <f>+IFERROR(HLOOKUP($B165,Resumen!$F$3:$AM$14,12),0)</f>
        <v>0</v>
      </c>
      <c r="G165" s="17">
        <f t="shared" si="45"/>
        <v>5.8207660913467407E-11</v>
      </c>
      <c r="H165" s="17">
        <f>IF(X165="",0,IF(F165=0,ROUND(SUM(J$2:J165)*X165,2),0))</f>
        <v>0</v>
      </c>
      <c r="I165" s="17">
        <f t="shared" si="31"/>
        <v>0</v>
      </c>
      <c r="J165" s="17">
        <f>(Resumen!$C$10*(1-Resumen!$C$24)*(1+Incmat)^5)*C165</f>
        <v>0</v>
      </c>
      <c r="K165" s="17">
        <f>+IF(F165=1,PMT(X165,(Resumen!$C$36+Resumen!$C$26+Resumen!$C$14*6-B165+1),-Amortizacion!G165),0)</f>
        <v>0</v>
      </c>
      <c r="L165" s="17">
        <f t="shared" si="33"/>
        <v>0</v>
      </c>
      <c r="M165" s="17">
        <f>+IF(Resumen!$C$20="no",H165,0)</f>
        <v>0</v>
      </c>
      <c r="N165" s="17">
        <f t="shared" si="34"/>
        <v>5.8207660913467407E-11</v>
      </c>
      <c r="O165" s="17">
        <f>+IF(AND(Resumen!$C$18="SI",Amortizacion!E165=1),SUM($H$2:J165)*25%,0)</f>
        <v>0</v>
      </c>
      <c r="P165" s="1">
        <f t="shared" si="42"/>
        <v>0</v>
      </c>
      <c r="Q165" s="17">
        <f t="shared" si="43"/>
        <v>0</v>
      </c>
      <c r="R165" s="17">
        <f t="shared" si="35"/>
        <v>0</v>
      </c>
      <c r="S165" s="17">
        <f>(Resumen!$C$10*(Resumen!$C$24)*(1+Incmat)^5)*$C165</f>
        <v>0</v>
      </c>
      <c r="T165" s="21">
        <f t="shared" si="36"/>
        <v>0</v>
      </c>
      <c r="U165" s="17">
        <f t="shared" si="37"/>
        <v>0</v>
      </c>
      <c r="V165" s="17">
        <f t="shared" si="38"/>
        <v>0</v>
      </c>
      <c r="W165" s="17">
        <f t="shared" si="44"/>
        <v>5.8207660913467407E-11</v>
      </c>
      <c r="X165" s="15" t="str">
        <f>+IF(B165="","",Resumen!$C$34)</f>
        <v/>
      </c>
      <c r="Y165" s="16">
        <f t="shared" si="32"/>
        <v>0</v>
      </c>
      <c r="Z165" s="20">
        <f t="shared" si="39"/>
        <v>0</v>
      </c>
      <c r="AA165" s="20">
        <f t="shared" si="40"/>
        <v>0</v>
      </c>
      <c r="AB165" s="20">
        <f>+IF(Resumen!$C$8="no",0,W165*((1+10%)^(0.0833333333333333)-1))</f>
        <v>0</v>
      </c>
    </row>
    <row r="166" spans="1:28" x14ac:dyDescent="0.35">
      <c r="A166">
        <f t="shared" si="41"/>
        <v>165</v>
      </c>
      <c r="B166" t="str">
        <f>+IF(A166&gt;Resumen!$C$40,"",A166)</f>
        <v/>
      </c>
      <c r="C166" s="1">
        <f>+IFERROR(HLOOKUP($B166,Resumen!$F$3:$AM$10,8,0),0)</f>
        <v>0</v>
      </c>
      <c r="D166" s="1">
        <f>+IFERROR(HLOOKUP($B166,Resumen!$F$3:$AM$12,10),0)</f>
        <v>0</v>
      </c>
      <c r="E166" s="1">
        <f>+IF(B166=Resumen!$C$38*6-6,1,0)</f>
        <v>0</v>
      </c>
      <c r="F166" s="1">
        <f>+IFERROR(HLOOKUP($B166,Resumen!$F$3:$AM$14,12),0)</f>
        <v>0</v>
      </c>
      <c r="G166" s="17">
        <f t="shared" si="45"/>
        <v>5.8207660913467407E-11</v>
      </c>
      <c r="H166" s="17">
        <f>IF(X166="",0,IF(F166=0,ROUND(SUM(J$2:J166)*X166,2),0))</f>
        <v>0</v>
      </c>
      <c r="I166" s="17">
        <f t="shared" si="31"/>
        <v>0</v>
      </c>
      <c r="J166" s="17">
        <f>(Resumen!$C$10*(1-Resumen!$C$24)*(1+Incmat)^5)*C166</f>
        <v>0</v>
      </c>
      <c r="K166" s="17">
        <f>+IF(F166=1,PMT(X166,(Resumen!$C$36+Resumen!$C$26+Resumen!$C$14*6-B166+1),-Amortizacion!G166),0)</f>
        <v>0</v>
      </c>
      <c r="L166" s="17">
        <f t="shared" si="33"/>
        <v>0</v>
      </c>
      <c r="M166" s="17">
        <f>+IF(Resumen!$C$20="no",H166,0)</f>
        <v>0</v>
      </c>
      <c r="N166" s="17">
        <f t="shared" si="34"/>
        <v>5.8207660913467407E-11</v>
      </c>
      <c r="O166" s="17">
        <f>+IF(AND(Resumen!$C$18="SI",Amortizacion!E166=1),SUM($H$2:J166)*25%,0)</f>
        <v>0</v>
      </c>
      <c r="P166" s="1">
        <f t="shared" si="42"/>
        <v>0</v>
      </c>
      <c r="Q166" s="17">
        <f t="shared" si="43"/>
        <v>0</v>
      </c>
      <c r="R166" s="17">
        <f t="shared" si="35"/>
        <v>0</v>
      </c>
      <c r="S166" s="17">
        <f>(Resumen!$C$10*(Resumen!$C$24)*(1+Incmat)^5)*$C166</f>
        <v>0</v>
      </c>
      <c r="T166" s="21">
        <f t="shared" si="36"/>
        <v>0</v>
      </c>
      <c r="U166" s="17">
        <f t="shared" si="37"/>
        <v>0</v>
      </c>
      <c r="V166" s="17">
        <f t="shared" si="38"/>
        <v>0</v>
      </c>
      <c r="W166" s="17">
        <f t="shared" si="44"/>
        <v>5.8207660913467407E-11</v>
      </c>
      <c r="X166" s="15" t="str">
        <f>+IF(B166="","",Resumen!$C$34)</f>
        <v/>
      </c>
      <c r="Y166" s="16">
        <f t="shared" si="32"/>
        <v>0</v>
      </c>
      <c r="Z166" s="20">
        <f t="shared" si="39"/>
        <v>0</v>
      </c>
      <c r="AA166" s="20">
        <f t="shared" si="40"/>
        <v>0</v>
      </c>
      <c r="AB166" s="20">
        <f>+IF(Resumen!$C$8="no",0,W166*((1+10%)^(0.0833333333333333)-1))</f>
        <v>0</v>
      </c>
    </row>
    <row r="167" spans="1:28" x14ac:dyDescent="0.35">
      <c r="A167">
        <f t="shared" si="41"/>
        <v>166</v>
      </c>
      <c r="B167" t="str">
        <f>+IF(A167&gt;Resumen!$C$40,"",A167)</f>
        <v/>
      </c>
      <c r="C167" s="1">
        <f>+IFERROR(HLOOKUP($B167,Resumen!$F$3:$AM$10,8,0),0)</f>
        <v>0</v>
      </c>
      <c r="D167" s="1">
        <f>+IFERROR(HLOOKUP($B167,Resumen!$F$3:$AM$12,10),0)</f>
        <v>0</v>
      </c>
      <c r="E167" s="1">
        <f>+IF(B167=Resumen!$C$38*6-6,1,0)</f>
        <v>0</v>
      </c>
      <c r="F167" s="1">
        <f>+IFERROR(HLOOKUP($B167,Resumen!$F$3:$AM$14,12),0)</f>
        <v>0</v>
      </c>
      <c r="G167" s="17">
        <f t="shared" si="45"/>
        <v>5.8207660913467407E-11</v>
      </c>
      <c r="H167" s="17">
        <f>IF(X167="",0,IF(F167=0,ROUND(SUM(J$2:J167)*X167,2),0))</f>
        <v>0</v>
      </c>
      <c r="I167" s="17">
        <f t="shared" si="31"/>
        <v>0</v>
      </c>
      <c r="J167" s="17">
        <f>(Resumen!$C$10*(1-Resumen!$C$24)*(1+Incmat)^5)*C167</f>
        <v>0</v>
      </c>
      <c r="K167" s="17">
        <f>+IF(F167=1,PMT(X167,(Resumen!$C$36+Resumen!$C$26+Resumen!$C$14*6-B167+1),-Amortizacion!G167),0)</f>
        <v>0</v>
      </c>
      <c r="L167" s="17">
        <f t="shared" si="33"/>
        <v>0</v>
      </c>
      <c r="M167" s="17">
        <f>+IF(Resumen!$C$20="no",H167,0)</f>
        <v>0</v>
      </c>
      <c r="N167" s="17">
        <f t="shared" si="34"/>
        <v>5.8207660913467407E-11</v>
      </c>
      <c r="O167" s="17">
        <f>+IF(AND(Resumen!$C$18="SI",Amortizacion!E167=1),SUM($H$2:J167)*25%,0)</f>
        <v>0</v>
      </c>
      <c r="P167" s="1">
        <f t="shared" si="42"/>
        <v>0</v>
      </c>
      <c r="Q167" s="17">
        <f t="shared" si="43"/>
        <v>0</v>
      </c>
      <c r="R167" s="17">
        <f t="shared" si="35"/>
        <v>0</v>
      </c>
      <c r="S167" s="17">
        <f>(Resumen!$C$10*(Resumen!$C$24)*(1+Incmat)^5)*$C167</f>
        <v>0</v>
      </c>
      <c r="T167" s="21">
        <f t="shared" si="36"/>
        <v>0</v>
      </c>
      <c r="U167" s="17">
        <f t="shared" si="37"/>
        <v>0</v>
      </c>
      <c r="V167" s="17">
        <f t="shared" si="38"/>
        <v>0</v>
      </c>
      <c r="W167" s="17">
        <f t="shared" si="44"/>
        <v>5.8207660913467407E-11</v>
      </c>
      <c r="X167" s="15" t="str">
        <f>+IF(B167="","",Resumen!$C$34)</f>
        <v/>
      </c>
      <c r="Y167" s="16">
        <f t="shared" si="32"/>
        <v>0</v>
      </c>
      <c r="Z167" s="20">
        <f t="shared" si="39"/>
        <v>0</v>
      </c>
      <c r="AA167" s="20">
        <f t="shared" si="40"/>
        <v>0</v>
      </c>
      <c r="AB167" s="20">
        <f>+IF(Resumen!$C$8="no",0,W167*((1+10%)^(0.0833333333333333)-1))</f>
        <v>0</v>
      </c>
    </row>
    <row r="168" spans="1:28" x14ac:dyDescent="0.35">
      <c r="A168">
        <f t="shared" si="41"/>
        <v>167</v>
      </c>
      <c r="B168" t="str">
        <f>+IF(A168&gt;Resumen!$C$40,"",A168)</f>
        <v/>
      </c>
      <c r="C168" s="1">
        <f>+IFERROR(HLOOKUP($B168,Resumen!$F$3:$AM$10,8,0),0)</f>
        <v>0</v>
      </c>
      <c r="D168" s="1">
        <f>+IFERROR(HLOOKUP($B168,Resumen!$F$3:$AM$12,10),0)</f>
        <v>0</v>
      </c>
      <c r="E168" s="1">
        <f>+IF(B168=Resumen!$C$38*6-6,1,0)</f>
        <v>0</v>
      </c>
      <c r="F168" s="1">
        <f>+IFERROR(HLOOKUP($B168,Resumen!$F$3:$AM$14,12),0)</f>
        <v>0</v>
      </c>
      <c r="G168" s="17">
        <f t="shared" si="45"/>
        <v>5.8207660913467407E-11</v>
      </c>
      <c r="H168" s="17">
        <f>IF(X168="",0,IF(F168=0,ROUND(SUM(J$2:J168)*X168,2),0))</f>
        <v>0</v>
      </c>
      <c r="I168" s="17">
        <f t="shared" si="31"/>
        <v>0</v>
      </c>
      <c r="J168" s="17">
        <f>(Resumen!$C$10*(1-Resumen!$C$24)*(1+Incmat)^5)*C168</f>
        <v>0</v>
      </c>
      <c r="K168" s="17">
        <f>+IF(F168=1,PMT(X168,(Resumen!$C$36+Resumen!$C$26+Resumen!$C$14*6-B168+1),-Amortizacion!G168),0)</f>
        <v>0</v>
      </c>
      <c r="L168" s="17">
        <f t="shared" si="33"/>
        <v>0</v>
      </c>
      <c r="M168" s="17">
        <f>+IF(Resumen!$C$20="no",H168,0)</f>
        <v>0</v>
      </c>
      <c r="N168" s="17">
        <f t="shared" si="34"/>
        <v>5.8207660913467407E-11</v>
      </c>
      <c r="O168" s="17">
        <f>+IF(AND(Resumen!$C$18="SI",Amortizacion!E168=1),SUM($H$2:J168)*25%,0)</f>
        <v>0</v>
      </c>
      <c r="P168" s="1">
        <f t="shared" si="42"/>
        <v>0</v>
      </c>
      <c r="Q168" s="17">
        <f t="shared" si="43"/>
        <v>0</v>
      </c>
      <c r="R168" s="17">
        <f t="shared" si="35"/>
        <v>0</v>
      </c>
      <c r="S168" s="17">
        <f>(Resumen!$C$10*(Resumen!$C$24)*(1+Incmat)^5)*$C168</f>
        <v>0</v>
      </c>
      <c r="T168" s="21">
        <f t="shared" si="36"/>
        <v>0</v>
      </c>
      <c r="U168" s="17">
        <f t="shared" si="37"/>
        <v>0</v>
      </c>
      <c r="V168" s="17">
        <f t="shared" si="38"/>
        <v>0</v>
      </c>
      <c r="W168" s="17">
        <f t="shared" si="44"/>
        <v>5.8207660913467407E-11</v>
      </c>
      <c r="X168" s="15" t="str">
        <f>+IF(B168="","",Resumen!$C$34)</f>
        <v/>
      </c>
      <c r="Y168" s="16">
        <f t="shared" si="32"/>
        <v>0</v>
      </c>
      <c r="Z168" s="20">
        <f t="shared" si="39"/>
        <v>0</v>
      </c>
      <c r="AA168" s="20">
        <f t="shared" si="40"/>
        <v>0</v>
      </c>
      <c r="AB168" s="20">
        <f>+IF(Resumen!$C$8="no",0,W168*((1+10%)^(0.0833333333333333)-1))</f>
        <v>0</v>
      </c>
    </row>
    <row r="169" spans="1:28" x14ac:dyDescent="0.35">
      <c r="A169">
        <f t="shared" si="41"/>
        <v>168</v>
      </c>
      <c r="B169" t="str">
        <f>+IF(A169&gt;Resumen!$C$40,"",A169)</f>
        <v/>
      </c>
      <c r="C169" s="1">
        <f>+IFERROR(HLOOKUP($B169,Resumen!$F$3:$AM$10,8,0),0)</f>
        <v>0</v>
      </c>
      <c r="D169" s="1">
        <f>+IFERROR(HLOOKUP($B169,Resumen!$F$3:$AM$12,10),0)</f>
        <v>0</v>
      </c>
      <c r="E169" s="1">
        <f>+IF(B169=Resumen!$C$38*6-6,1,0)</f>
        <v>0</v>
      </c>
      <c r="F169" s="1">
        <f>+IFERROR(HLOOKUP($B169,Resumen!$F$3:$AM$14,12),0)</f>
        <v>0</v>
      </c>
      <c r="G169" s="17">
        <f t="shared" si="45"/>
        <v>5.8207660913467407E-11</v>
      </c>
      <c r="H169" s="17">
        <f>IF(X169="",0,IF(F169=0,ROUND(SUM(J$2:J169)*X169,2),0))</f>
        <v>0</v>
      </c>
      <c r="I169" s="17">
        <f t="shared" si="31"/>
        <v>0</v>
      </c>
      <c r="J169" s="17">
        <f>(Resumen!$C$10*(1-Resumen!$C$24)*(1+Incmat)^5)*C169</f>
        <v>0</v>
      </c>
      <c r="K169" s="17">
        <f>+IF(F169=1,PMT(X169,(Resumen!$C$36+Resumen!$C$26+Resumen!$C$14*6-B169+1),-Amortizacion!G169),0)</f>
        <v>0</v>
      </c>
      <c r="L169" s="17">
        <f t="shared" si="33"/>
        <v>0</v>
      </c>
      <c r="M169" s="17">
        <f>+IF(Resumen!$C$20="no",H169,0)</f>
        <v>0</v>
      </c>
      <c r="N169" s="17">
        <f t="shared" si="34"/>
        <v>5.8207660913467407E-11</v>
      </c>
      <c r="O169" s="17">
        <f>+IF(AND(Resumen!$C$18="SI",Amortizacion!E169=1),SUM($H$2:J169)*25%,0)</f>
        <v>0</v>
      </c>
      <c r="P169" s="1">
        <f t="shared" si="42"/>
        <v>0</v>
      </c>
      <c r="Q169" s="17">
        <f t="shared" si="43"/>
        <v>0</v>
      </c>
      <c r="R169" s="17">
        <f t="shared" si="35"/>
        <v>0</v>
      </c>
      <c r="S169" s="17">
        <f>(Resumen!$C$10*(Resumen!$C$24)*(1+Incmat)^5)*$C169</f>
        <v>0</v>
      </c>
      <c r="T169" s="21">
        <f t="shared" si="36"/>
        <v>0</v>
      </c>
      <c r="U169" s="17">
        <f t="shared" si="37"/>
        <v>0</v>
      </c>
      <c r="V169" s="17">
        <f t="shared" si="38"/>
        <v>0</v>
      </c>
      <c r="W169" s="17">
        <f t="shared" si="44"/>
        <v>5.8207660913467407E-11</v>
      </c>
      <c r="X169" s="15" t="str">
        <f>+IF(B169="","",Resumen!$C$34)</f>
        <v/>
      </c>
      <c r="Y169" s="16">
        <f t="shared" si="32"/>
        <v>0</v>
      </c>
      <c r="Z169" s="20">
        <f t="shared" si="39"/>
        <v>0</v>
      </c>
      <c r="AA169" s="20">
        <f t="shared" si="40"/>
        <v>0</v>
      </c>
      <c r="AB169" s="20">
        <f>+IF(Resumen!$C$8="no",0,W169*((1+10%)^(0.0833333333333333)-1))</f>
        <v>0</v>
      </c>
    </row>
    <row r="170" spans="1:28" x14ac:dyDescent="0.35">
      <c r="A170">
        <f t="shared" si="41"/>
        <v>169</v>
      </c>
      <c r="B170" t="str">
        <f>+IF(A170&gt;Resumen!$C$40,"",A170)</f>
        <v/>
      </c>
      <c r="C170" s="1">
        <f>+IFERROR(HLOOKUP($B170,Resumen!$F$3:$AM$10,8,0),0)</f>
        <v>0</v>
      </c>
      <c r="D170" s="1">
        <f>+IFERROR(HLOOKUP($B170,Resumen!$F$3:$AM$12,10),0)</f>
        <v>0</v>
      </c>
      <c r="E170" s="1">
        <f>+IF(B170=Resumen!$C$38*6-6,1,0)</f>
        <v>0</v>
      </c>
      <c r="F170" s="1">
        <f>+IFERROR(HLOOKUP($B170,Resumen!$F$3:$AM$14,12),0)</f>
        <v>0</v>
      </c>
      <c r="G170" s="17">
        <f t="shared" si="45"/>
        <v>5.8207660913467407E-11</v>
      </c>
      <c r="H170" s="17">
        <f>IF(X170="",0,IF(F170=0,ROUND(SUM(J$2:J170)*X170,2),0))</f>
        <v>0</v>
      </c>
      <c r="I170" s="17">
        <f t="shared" si="31"/>
        <v>0</v>
      </c>
      <c r="J170" s="17">
        <f>(Resumen!$C$10*(1-Resumen!$C$24)*(1+Incmat)^5)*C170</f>
        <v>0</v>
      </c>
      <c r="K170" s="17">
        <f>+IF(F170=1,PMT(X170,(Resumen!$C$36+Resumen!$C$26+Resumen!$C$14*6-B170+1),-Amortizacion!G170),0)</f>
        <v>0</v>
      </c>
      <c r="L170" s="17">
        <f t="shared" si="33"/>
        <v>0</v>
      </c>
      <c r="M170" s="17">
        <f>+IF(Resumen!$C$20="no",H170,0)</f>
        <v>0</v>
      </c>
      <c r="N170" s="17">
        <f t="shared" si="34"/>
        <v>5.8207660913467407E-11</v>
      </c>
      <c r="O170" s="17">
        <f>+IF(AND(Resumen!$C$18="SI",Amortizacion!E170=1),SUM($H$2:J170)*25%,0)</f>
        <v>0</v>
      </c>
      <c r="P170" s="1">
        <f t="shared" si="42"/>
        <v>0</v>
      </c>
      <c r="Q170" s="17">
        <f t="shared" si="43"/>
        <v>0</v>
      </c>
      <c r="R170" s="17">
        <f t="shared" si="35"/>
        <v>0</v>
      </c>
      <c r="S170" s="17">
        <f>(Resumen!$C$10*(Resumen!$C$24)*(1+Incmat)^5)*$C170</f>
        <v>0</v>
      </c>
      <c r="T170" s="21">
        <f t="shared" si="36"/>
        <v>0</v>
      </c>
      <c r="U170" s="17">
        <f t="shared" si="37"/>
        <v>0</v>
      </c>
      <c r="V170" s="17">
        <f t="shared" si="38"/>
        <v>0</v>
      </c>
      <c r="W170" s="17">
        <f t="shared" si="44"/>
        <v>5.8207660913467407E-11</v>
      </c>
      <c r="X170" s="15" t="str">
        <f>+IF(B170="","",Resumen!$C$34)</f>
        <v/>
      </c>
      <c r="Y170" s="16">
        <f t="shared" si="32"/>
        <v>0</v>
      </c>
      <c r="Z170" s="20">
        <f t="shared" si="39"/>
        <v>0</v>
      </c>
      <c r="AA170" s="20">
        <f t="shared" si="40"/>
        <v>0</v>
      </c>
      <c r="AB170" s="20">
        <f>+IF(Resumen!$C$8="no",0,W170*((1+10%)^(0.0833333333333333)-1))</f>
        <v>0</v>
      </c>
    </row>
    <row r="171" spans="1:28" x14ac:dyDescent="0.35">
      <c r="A171">
        <f t="shared" si="41"/>
        <v>170</v>
      </c>
      <c r="B171" t="str">
        <f>+IF(A171&gt;Resumen!$C$40,"",A171)</f>
        <v/>
      </c>
      <c r="C171" s="1">
        <f>+IFERROR(HLOOKUP($B171,Resumen!$F$3:$AM$10,8,0),0)</f>
        <v>0</v>
      </c>
      <c r="D171" s="1">
        <f>+IFERROR(HLOOKUP($B171,Resumen!$F$3:$AM$12,10),0)</f>
        <v>0</v>
      </c>
      <c r="E171" s="1">
        <f>+IF(B171=Resumen!$C$38*6-6,1,0)</f>
        <v>0</v>
      </c>
      <c r="F171" s="1">
        <f>+IFERROR(HLOOKUP($B171,Resumen!$F$3:$AM$14,12),0)</f>
        <v>0</v>
      </c>
      <c r="G171" s="17">
        <f t="shared" si="45"/>
        <v>5.8207660913467407E-11</v>
      </c>
      <c r="H171" s="17">
        <f>IF(X171="",0,IF(F171=0,ROUND(SUM(J$2:J171)*X171,2),0))</f>
        <v>0</v>
      </c>
      <c r="I171" s="17">
        <f t="shared" si="31"/>
        <v>0</v>
      </c>
      <c r="J171" s="17">
        <f>(Resumen!$C$10*(1-Resumen!$C$24)*(1+Incmat)^5)*C171</f>
        <v>0</v>
      </c>
      <c r="K171" s="17">
        <f>+IF(F171=1,PMT(X171,(Resumen!$C$36+Resumen!$C$26+Resumen!$C$14*6-B171+1),-Amortizacion!G171),0)</f>
        <v>0</v>
      </c>
      <c r="L171" s="17">
        <f t="shared" si="33"/>
        <v>0</v>
      </c>
      <c r="M171" s="17">
        <f>+IF(Resumen!$C$20="no",H171,0)</f>
        <v>0</v>
      </c>
      <c r="N171" s="17">
        <f t="shared" si="34"/>
        <v>5.8207660913467407E-11</v>
      </c>
      <c r="O171" s="17">
        <f>+IF(AND(Resumen!$C$18="SI",Amortizacion!E171=1),SUM($H$2:J171)*25%,0)</f>
        <v>0</v>
      </c>
      <c r="P171" s="1">
        <f t="shared" si="42"/>
        <v>0</v>
      </c>
      <c r="Q171" s="17">
        <f t="shared" si="43"/>
        <v>0</v>
      </c>
      <c r="R171" s="17">
        <f t="shared" si="35"/>
        <v>0</v>
      </c>
      <c r="S171" s="17">
        <f>(Resumen!$C$10*(Resumen!$C$24)*(1+Incmat)^5)*$C171</f>
        <v>0</v>
      </c>
      <c r="T171" s="21">
        <f t="shared" si="36"/>
        <v>0</v>
      </c>
      <c r="U171" s="17">
        <f t="shared" si="37"/>
        <v>0</v>
      </c>
      <c r="V171" s="17">
        <f t="shared" si="38"/>
        <v>0</v>
      </c>
      <c r="W171" s="17">
        <f t="shared" si="44"/>
        <v>5.8207660913467407E-11</v>
      </c>
      <c r="X171" s="15" t="str">
        <f>+IF(B171="","",Resumen!$C$34)</f>
        <v/>
      </c>
      <c r="Y171" s="16">
        <f t="shared" si="32"/>
        <v>0</v>
      </c>
      <c r="Z171" s="20">
        <f t="shared" si="39"/>
        <v>0</v>
      </c>
      <c r="AA171" s="20">
        <f t="shared" si="40"/>
        <v>0</v>
      </c>
      <c r="AB171" s="20">
        <f>+IF(Resumen!$C$8="no",0,W171*((1+10%)^(0.0833333333333333)-1))</f>
        <v>0</v>
      </c>
    </row>
    <row r="172" spans="1:28" x14ac:dyDescent="0.35">
      <c r="A172">
        <f t="shared" si="41"/>
        <v>171</v>
      </c>
      <c r="B172" t="str">
        <f>+IF(A172&gt;Resumen!$C$40,"",A172)</f>
        <v/>
      </c>
      <c r="C172" s="1">
        <f>+IFERROR(HLOOKUP($B172,Resumen!$F$3:$AM$10,8,0),0)</f>
        <v>0</v>
      </c>
      <c r="D172" s="1">
        <f>+IFERROR(HLOOKUP($B172,Resumen!$F$3:$AM$12,10),0)</f>
        <v>0</v>
      </c>
      <c r="E172" s="1">
        <f>+IF(B172=Resumen!$C$38*6-6,1,0)</f>
        <v>0</v>
      </c>
      <c r="F172" s="1">
        <f>+IFERROR(HLOOKUP($B172,Resumen!$F$3:$AM$14,12),0)</f>
        <v>0</v>
      </c>
      <c r="G172" s="17">
        <f t="shared" si="45"/>
        <v>5.8207660913467407E-11</v>
      </c>
      <c r="H172" s="17">
        <f>IF(X172="",0,IF(F172=0,ROUND(SUM(J$2:J172)*X172,2),0))</f>
        <v>0</v>
      </c>
      <c r="I172" s="17">
        <f t="shared" si="31"/>
        <v>0</v>
      </c>
      <c r="J172" s="17">
        <f>(Resumen!$C$10*(1-Resumen!$C$24)*(1+Incmat)^5)*C172</f>
        <v>0</v>
      </c>
      <c r="K172" s="17">
        <f>+IF(F172=1,PMT(X172,(Resumen!$C$36+Resumen!$C$26+Resumen!$C$14*6-B172+1),-Amortizacion!G172),0)</f>
        <v>0</v>
      </c>
      <c r="L172" s="17">
        <f t="shared" si="33"/>
        <v>0</v>
      </c>
      <c r="M172" s="17">
        <f>+IF(Resumen!$C$20="no",H172,0)</f>
        <v>0</v>
      </c>
      <c r="N172" s="17">
        <f t="shared" si="34"/>
        <v>5.8207660913467407E-11</v>
      </c>
      <c r="O172" s="17">
        <f>+IF(AND(Resumen!$C$18="SI",Amortizacion!E172=1),SUM($H$2:J172)*25%,0)</f>
        <v>0</v>
      </c>
      <c r="P172" s="1">
        <f t="shared" si="42"/>
        <v>0</v>
      </c>
      <c r="Q172" s="17">
        <f t="shared" si="43"/>
        <v>0</v>
      </c>
      <c r="R172" s="17">
        <f t="shared" si="35"/>
        <v>0</v>
      </c>
      <c r="S172" s="17">
        <f>(Resumen!$C$10*(Resumen!$C$24)*(1+Incmat)^5)*$C172</f>
        <v>0</v>
      </c>
      <c r="T172" s="21">
        <f t="shared" si="36"/>
        <v>0</v>
      </c>
      <c r="U172" s="17">
        <f t="shared" si="37"/>
        <v>0</v>
      </c>
      <c r="V172" s="17">
        <f t="shared" si="38"/>
        <v>0</v>
      </c>
      <c r="W172" s="17">
        <f t="shared" si="44"/>
        <v>5.8207660913467407E-11</v>
      </c>
      <c r="X172" s="15" t="str">
        <f>+IF(B172="","",Resumen!$C$34)</f>
        <v/>
      </c>
      <c r="Y172" s="16">
        <f t="shared" si="32"/>
        <v>0</v>
      </c>
      <c r="Z172" s="20">
        <f t="shared" si="39"/>
        <v>0</v>
      </c>
      <c r="AA172" s="20">
        <f t="shared" si="40"/>
        <v>0</v>
      </c>
      <c r="AB172" s="20">
        <f>+IF(Resumen!$C$8="no",0,W172*((1+10%)^(0.0833333333333333)-1))</f>
        <v>0</v>
      </c>
    </row>
    <row r="173" spans="1:28" x14ac:dyDescent="0.35">
      <c r="A173">
        <f t="shared" si="41"/>
        <v>172</v>
      </c>
      <c r="B173" t="str">
        <f>+IF(A173&gt;Resumen!$C$40,"",A173)</f>
        <v/>
      </c>
      <c r="C173" s="1">
        <f>+IFERROR(HLOOKUP($B173,Resumen!$F$3:$AM$10,8,0),0)</f>
        <v>0</v>
      </c>
      <c r="D173" s="1">
        <f>+IFERROR(HLOOKUP($B173,Resumen!$F$3:$AM$12,10),0)</f>
        <v>0</v>
      </c>
      <c r="E173" s="1">
        <f>+IF(B173=Resumen!$C$38*6-6,1,0)</f>
        <v>0</v>
      </c>
      <c r="F173" s="1">
        <f>+IFERROR(HLOOKUP($B173,Resumen!$F$3:$AM$14,12),0)</f>
        <v>0</v>
      </c>
      <c r="G173" s="17">
        <f t="shared" si="45"/>
        <v>5.8207660913467407E-11</v>
      </c>
      <c r="H173" s="17">
        <f>IF(X173="",0,IF(F173=0,ROUND(SUM(J$2:J173)*X173,2),0))</f>
        <v>0</v>
      </c>
      <c r="I173" s="17">
        <f t="shared" si="31"/>
        <v>0</v>
      </c>
      <c r="J173" s="17">
        <f>(Resumen!$C$10*(1-Resumen!$C$24)*(1+Incmat)^5)*C173</f>
        <v>0</v>
      </c>
      <c r="K173" s="17">
        <f>+IF(F173=1,PMT(X173,(Resumen!$C$36+Resumen!$C$26+Resumen!$C$14*6-B173+1),-Amortizacion!G173),0)</f>
        <v>0</v>
      </c>
      <c r="L173" s="17">
        <f t="shared" si="33"/>
        <v>0</v>
      </c>
      <c r="M173" s="17">
        <f>+IF(Resumen!$C$20="no",H173,0)</f>
        <v>0</v>
      </c>
      <c r="N173" s="17">
        <f t="shared" si="34"/>
        <v>5.8207660913467407E-11</v>
      </c>
      <c r="O173" s="17">
        <f>+IF(AND(Resumen!$C$18="SI",Amortizacion!E173=1),SUM($H$2:J173)*25%,0)</f>
        <v>0</v>
      </c>
      <c r="P173" s="1">
        <f t="shared" si="42"/>
        <v>0</v>
      </c>
      <c r="Q173" s="17">
        <f t="shared" si="43"/>
        <v>0</v>
      </c>
      <c r="R173" s="17">
        <f t="shared" si="35"/>
        <v>0</v>
      </c>
      <c r="S173" s="17">
        <f>(Resumen!$C$10*(Resumen!$C$24)*(1+Incmat)^5)*$C173</f>
        <v>0</v>
      </c>
      <c r="T173" s="21">
        <f t="shared" si="36"/>
        <v>0</v>
      </c>
      <c r="U173" s="17">
        <f t="shared" si="37"/>
        <v>0</v>
      </c>
      <c r="V173" s="17">
        <f t="shared" si="38"/>
        <v>0</v>
      </c>
      <c r="W173" s="17">
        <f t="shared" si="44"/>
        <v>5.8207660913467407E-11</v>
      </c>
      <c r="X173" s="15" t="str">
        <f>+IF(B173="","",Resumen!$C$34)</f>
        <v/>
      </c>
      <c r="Y173" s="16">
        <f t="shared" si="32"/>
        <v>0</v>
      </c>
      <c r="Z173" s="20">
        <f t="shared" si="39"/>
        <v>0</v>
      </c>
      <c r="AA173" s="20">
        <f t="shared" si="40"/>
        <v>0</v>
      </c>
      <c r="AB173" s="20">
        <f>+IF(Resumen!$C$8="no",0,W173*((1+10%)^(0.0833333333333333)-1))</f>
        <v>0</v>
      </c>
    </row>
    <row r="174" spans="1:28" x14ac:dyDescent="0.35">
      <c r="A174">
        <f t="shared" si="41"/>
        <v>173</v>
      </c>
      <c r="B174" t="str">
        <f>+IF(A174&gt;Resumen!$C$40,"",A174)</f>
        <v/>
      </c>
      <c r="C174" s="1">
        <f>+IFERROR(HLOOKUP($B174,Resumen!$F$3:$AM$10,8,0),0)</f>
        <v>0</v>
      </c>
      <c r="D174" s="1">
        <f>+IFERROR(HLOOKUP($B174,Resumen!$F$3:$AM$12,10),0)</f>
        <v>0</v>
      </c>
      <c r="E174" s="1">
        <f>+IF(B174=Resumen!$C$38*6-6,1,0)</f>
        <v>0</v>
      </c>
      <c r="F174" s="1">
        <f>+IFERROR(HLOOKUP($B174,Resumen!$F$3:$AM$14,12),0)</f>
        <v>0</v>
      </c>
      <c r="G174" s="17">
        <f t="shared" si="45"/>
        <v>5.8207660913467407E-11</v>
      </c>
      <c r="H174" s="17">
        <f>IF(X174="",0,IF(F174=0,ROUND(SUM(J$2:J174)*X174,2),0))</f>
        <v>0</v>
      </c>
      <c r="I174" s="17">
        <f t="shared" si="31"/>
        <v>0</v>
      </c>
      <c r="J174" s="17">
        <f>(Resumen!$C$10*(1-Resumen!$C$24)*(1+Incmat)^5)*C174</f>
        <v>0</v>
      </c>
      <c r="K174" s="17">
        <f>+IF(F174=1,PMT(X174,(Resumen!$C$36+Resumen!$C$26+Resumen!$C$14*6-B174+1),-Amortizacion!G174),0)</f>
        <v>0</v>
      </c>
      <c r="L174" s="17">
        <f t="shared" si="33"/>
        <v>0</v>
      </c>
      <c r="M174" s="17">
        <f>+IF(Resumen!$C$20="no",H174,0)</f>
        <v>0</v>
      </c>
      <c r="N174" s="17">
        <f t="shared" si="34"/>
        <v>5.8207660913467407E-11</v>
      </c>
      <c r="O174" s="17">
        <f>+IF(AND(Resumen!$C$18="SI",Amortizacion!E174=1),SUM($H$2:J174)*25%,0)</f>
        <v>0</v>
      </c>
      <c r="P174" s="1">
        <f t="shared" si="42"/>
        <v>0</v>
      </c>
      <c r="Q174" s="17">
        <f t="shared" si="43"/>
        <v>0</v>
      </c>
      <c r="R174" s="17">
        <f t="shared" si="35"/>
        <v>0</v>
      </c>
      <c r="S174" s="17">
        <f>(Resumen!$C$10*(Resumen!$C$24)*(1+Incmat)^5)*$C174</f>
        <v>0</v>
      </c>
      <c r="T174" s="21">
        <f t="shared" si="36"/>
        <v>0</v>
      </c>
      <c r="U174" s="17">
        <f t="shared" si="37"/>
        <v>0</v>
      </c>
      <c r="V174" s="17">
        <f t="shared" si="38"/>
        <v>0</v>
      </c>
      <c r="W174" s="17">
        <f t="shared" si="44"/>
        <v>5.8207660913467407E-11</v>
      </c>
      <c r="X174" s="15" t="str">
        <f>+IF(B174="","",Resumen!$C$34)</f>
        <v/>
      </c>
      <c r="Y174" s="16">
        <f t="shared" si="32"/>
        <v>0</v>
      </c>
      <c r="Z174" s="20">
        <f t="shared" si="39"/>
        <v>0</v>
      </c>
      <c r="AA174" s="20">
        <f t="shared" si="40"/>
        <v>0</v>
      </c>
      <c r="AB174" s="20">
        <f>+IF(Resumen!$C$8="no",0,W174*((1+10%)^(0.0833333333333333)-1))</f>
        <v>0</v>
      </c>
    </row>
    <row r="175" spans="1:28" x14ac:dyDescent="0.35">
      <c r="A175">
        <f t="shared" si="41"/>
        <v>174</v>
      </c>
      <c r="B175" t="str">
        <f>+IF(A175&gt;Resumen!$C$40,"",A175)</f>
        <v/>
      </c>
      <c r="C175" s="1">
        <f>+IFERROR(HLOOKUP($B175,Resumen!$F$3:$AM$10,8,0),0)</f>
        <v>0</v>
      </c>
      <c r="D175" s="1">
        <f>+IFERROR(HLOOKUP($B175,Resumen!$F$3:$AM$12,10),0)</f>
        <v>0</v>
      </c>
      <c r="E175" s="1">
        <f>+IF(B175=Resumen!$C$38*6-6,1,0)</f>
        <v>0</v>
      </c>
      <c r="F175" s="1">
        <f>+IFERROR(HLOOKUP($B175,Resumen!$F$3:$AM$14,12),0)</f>
        <v>0</v>
      </c>
      <c r="G175" s="17">
        <f t="shared" si="45"/>
        <v>5.8207660913467407E-11</v>
      </c>
      <c r="H175" s="17">
        <f>IF(X175="",0,IF(F175=0,ROUND(SUM(J$2:J175)*X175,2),0))</f>
        <v>0</v>
      </c>
      <c r="I175" s="17">
        <f t="shared" si="31"/>
        <v>0</v>
      </c>
      <c r="J175" s="17">
        <f>(Resumen!$C$10*(1-Resumen!$C$24)*(1+Incmat)^5)*C175</f>
        <v>0</v>
      </c>
      <c r="K175" s="17">
        <f>+IF(F175=1,PMT(X175,(Resumen!$C$36+Resumen!$C$26+Resumen!$C$14*6-B175+1),-Amortizacion!G175),0)</f>
        <v>0</v>
      </c>
      <c r="L175" s="17">
        <f t="shared" si="33"/>
        <v>0</v>
      </c>
      <c r="M175" s="17">
        <f>+IF(Resumen!$C$20="no",H175,0)</f>
        <v>0</v>
      </c>
      <c r="N175" s="17">
        <f t="shared" si="34"/>
        <v>5.8207660913467407E-11</v>
      </c>
      <c r="O175" s="17">
        <f>+IF(AND(Resumen!$C$18="SI",Amortizacion!E175=1),SUM($H$2:J175)*25%,0)</f>
        <v>0</v>
      </c>
      <c r="P175" s="1">
        <f t="shared" si="42"/>
        <v>0</v>
      </c>
      <c r="Q175" s="17">
        <f t="shared" si="43"/>
        <v>0</v>
      </c>
      <c r="R175" s="17">
        <f t="shared" si="35"/>
        <v>0</v>
      </c>
      <c r="S175" s="17">
        <f>(Resumen!$C$10*(Resumen!$C$24)*(1+Incmat)^5)*$C175</f>
        <v>0</v>
      </c>
      <c r="T175" s="21">
        <f t="shared" si="36"/>
        <v>0</v>
      </c>
      <c r="U175" s="17">
        <f t="shared" si="37"/>
        <v>0</v>
      </c>
      <c r="V175" s="17">
        <f t="shared" si="38"/>
        <v>0</v>
      </c>
      <c r="W175" s="17">
        <f t="shared" si="44"/>
        <v>5.8207660913467407E-11</v>
      </c>
      <c r="X175" s="15" t="str">
        <f>+IF(B175="","",Resumen!$C$34)</f>
        <v/>
      </c>
      <c r="Y175" s="16">
        <f t="shared" si="32"/>
        <v>0</v>
      </c>
      <c r="Z175" s="20">
        <f t="shared" si="39"/>
        <v>0</v>
      </c>
      <c r="AA175" s="20">
        <f t="shared" si="40"/>
        <v>0</v>
      </c>
      <c r="AB175" s="20">
        <f>+IF(Resumen!$C$8="no",0,W175*((1+10%)^(0.0833333333333333)-1))</f>
        <v>0</v>
      </c>
    </row>
    <row r="176" spans="1:28" x14ac:dyDescent="0.35">
      <c r="A176">
        <f t="shared" si="41"/>
        <v>175</v>
      </c>
      <c r="B176" t="str">
        <f>+IF(A176&gt;Resumen!$C$40,"",A176)</f>
        <v/>
      </c>
      <c r="C176" s="1">
        <f>+IFERROR(HLOOKUP($B176,Resumen!$F$3:$AM$10,8,0),0)</f>
        <v>0</v>
      </c>
      <c r="D176" s="1">
        <f>+IFERROR(HLOOKUP($B176,Resumen!$F$3:$AM$12,10),0)</f>
        <v>0</v>
      </c>
      <c r="E176" s="1">
        <f>+IF(B176=Resumen!$C$38*6-6,1,0)</f>
        <v>0</v>
      </c>
      <c r="F176" s="1">
        <f>+IFERROR(HLOOKUP($B176,Resumen!$F$3:$AM$14,12),0)</f>
        <v>0</v>
      </c>
      <c r="G176" s="17">
        <f t="shared" si="45"/>
        <v>5.8207660913467407E-11</v>
      </c>
      <c r="H176" s="17">
        <f>IF(X176="",0,IF(F176=0,ROUND(SUM(J$2:J176)*X176,2),0))</f>
        <v>0</v>
      </c>
      <c r="I176" s="17">
        <f t="shared" si="31"/>
        <v>0</v>
      </c>
      <c r="J176" s="17">
        <f>(Resumen!$C$10*(1-Resumen!$C$24)*(1+Incmat)^5)*C176</f>
        <v>0</v>
      </c>
      <c r="K176" s="17">
        <f>+IF(F176=1,PMT(X176,(Resumen!$C$36+Resumen!$C$26+Resumen!$C$14*6-B176+1),-Amortizacion!G176),0)</f>
        <v>0</v>
      </c>
      <c r="L176" s="17">
        <f t="shared" si="33"/>
        <v>0</v>
      </c>
      <c r="M176" s="17">
        <f>+IF(Resumen!$C$20="no",H176,0)</f>
        <v>0</v>
      </c>
      <c r="N176" s="17">
        <f t="shared" si="34"/>
        <v>5.8207660913467407E-11</v>
      </c>
      <c r="O176" s="17">
        <f>+IF(AND(Resumen!$C$18="SI",Amortizacion!E176=1),SUM($H$2:J176)*25%,0)</f>
        <v>0</v>
      </c>
      <c r="P176" s="1">
        <f t="shared" si="42"/>
        <v>0</v>
      </c>
      <c r="Q176" s="17">
        <f t="shared" si="43"/>
        <v>0</v>
      </c>
      <c r="R176" s="17">
        <f t="shared" si="35"/>
        <v>0</v>
      </c>
      <c r="S176" s="17">
        <f>(Resumen!$C$10*(Resumen!$C$24)*(1+Incmat)^5)*$C176</f>
        <v>0</v>
      </c>
      <c r="T176" s="21">
        <f t="shared" si="36"/>
        <v>0</v>
      </c>
      <c r="U176" s="17">
        <f t="shared" si="37"/>
        <v>0</v>
      </c>
      <c r="V176" s="17">
        <f t="shared" si="38"/>
        <v>0</v>
      </c>
      <c r="W176" s="17">
        <f t="shared" si="44"/>
        <v>5.8207660913467407E-11</v>
      </c>
      <c r="X176" s="15" t="str">
        <f>+IF(B176="","",Resumen!$C$34)</f>
        <v/>
      </c>
      <c r="Y176" s="16">
        <f t="shared" si="32"/>
        <v>0</v>
      </c>
      <c r="Z176" s="20">
        <f t="shared" si="39"/>
        <v>0</v>
      </c>
      <c r="AA176" s="20">
        <f t="shared" si="40"/>
        <v>0</v>
      </c>
      <c r="AB176" s="20">
        <f>+IF(Resumen!$C$8="no",0,W176*((1+10%)^(0.0833333333333333)-1))</f>
        <v>0</v>
      </c>
    </row>
    <row r="177" spans="1:28" x14ac:dyDescent="0.35">
      <c r="A177">
        <f t="shared" si="41"/>
        <v>176</v>
      </c>
      <c r="B177" t="str">
        <f>+IF(A177&gt;Resumen!$C$40,"",A177)</f>
        <v/>
      </c>
      <c r="C177" s="1">
        <f>+IFERROR(HLOOKUP($B177,Resumen!$F$3:$AM$10,8,0),0)</f>
        <v>0</v>
      </c>
      <c r="D177" s="1">
        <f>+IFERROR(HLOOKUP($B177,Resumen!$F$3:$AM$12,10),0)</f>
        <v>0</v>
      </c>
      <c r="E177" s="1">
        <f>+IF(B177=Resumen!$C$38*6-6,1,0)</f>
        <v>0</v>
      </c>
      <c r="F177" s="1">
        <f>+IFERROR(HLOOKUP($B177,Resumen!$F$3:$AM$14,12),0)</f>
        <v>0</v>
      </c>
      <c r="G177" s="17">
        <f t="shared" si="45"/>
        <v>5.8207660913467407E-11</v>
      </c>
      <c r="H177" s="17">
        <f>IF(X177="",0,IF(F177=0,ROUND(SUM(J$2:J177)*X177,2),0))</f>
        <v>0</v>
      </c>
      <c r="I177" s="17">
        <f t="shared" si="31"/>
        <v>0</v>
      </c>
      <c r="J177" s="17">
        <f>(Resumen!$C$10*(1-Resumen!$C$24)*(1+Incmat)^5)*C177</f>
        <v>0</v>
      </c>
      <c r="K177" s="17">
        <f>+IF(F177=1,PMT(X177,(Resumen!$C$36+Resumen!$C$26+Resumen!$C$14*6-B177+1),-Amortizacion!G177),0)</f>
        <v>0</v>
      </c>
      <c r="L177" s="17">
        <f t="shared" si="33"/>
        <v>0</v>
      </c>
      <c r="M177" s="17">
        <f>+IF(Resumen!$C$20="no",H177,0)</f>
        <v>0</v>
      </c>
      <c r="N177" s="17">
        <f t="shared" si="34"/>
        <v>5.8207660913467407E-11</v>
      </c>
      <c r="O177" s="17">
        <f>+IF(AND(Resumen!$C$18="SI",Amortizacion!E177=1),SUM($H$2:J177)*25%,0)</f>
        <v>0</v>
      </c>
      <c r="P177" s="1">
        <f t="shared" si="42"/>
        <v>0</v>
      </c>
      <c r="Q177" s="17">
        <f t="shared" si="43"/>
        <v>0</v>
      </c>
      <c r="R177" s="17">
        <f t="shared" si="35"/>
        <v>0</v>
      </c>
      <c r="S177" s="17">
        <f>(Resumen!$C$10*(Resumen!$C$24)*(1+Incmat)^5)*$C177</f>
        <v>0</v>
      </c>
      <c r="T177" s="21">
        <f t="shared" si="36"/>
        <v>0</v>
      </c>
      <c r="U177" s="17">
        <f t="shared" si="37"/>
        <v>0</v>
      </c>
      <c r="V177" s="17">
        <f t="shared" si="38"/>
        <v>0</v>
      </c>
      <c r="W177" s="17">
        <f t="shared" si="44"/>
        <v>5.8207660913467407E-11</v>
      </c>
      <c r="X177" s="15" t="str">
        <f>+IF(B177="","",Resumen!$C$34)</f>
        <v/>
      </c>
      <c r="Y177" s="16">
        <f t="shared" si="32"/>
        <v>0</v>
      </c>
      <c r="Z177" s="20">
        <f t="shared" si="39"/>
        <v>0</v>
      </c>
      <c r="AA177" s="20">
        <f t="shared" si="40"/>
        <v>0</v>
      </c>
      <c r="AB177" s="20">
        <f>+IF(Resumen!$C$8="no",0,W177*((1+10%)^(0.0833333333333333)-1))</f>
        <v>0</v>
      </c>
    </row>
    <row r="178" spans="1:28" x14ac:dyDescent="0.35">
      <c r="A178">
        <f t="shared" si="41"/>
        <v>177</v>
      </c>
      <c r="B178" t="str">
        <f>+IF(A178&gt;Resumen!$C$40,"",A178)</f>
        <v/>
      </c>
      <c r="C178" s="1">
        <f>+IFERROR(HLOOKUP($B178,Resumen!$F$3:$AM$10,8,0),0)</f>
        <v>0</v>
      </c>
      <c r="D178" s="1">
        <f>+IFERROR(HLOOKUP($B178,Resumen!$F$3:$AM$12,10),0)</f>
        <v>0</v>
      </c>
      <c r="E178" s="1">
        <f>+IF(B178=Resumen!$C$38*6-6,1,0)</f>
        <v>0</v>
      </c>
      <c r="F178" s="1">
        <f>+IFERROR(HLOOKUP($B178,Resumen!$F$3:$AM$14,12),0)</f>
        <v>0</v>
      </c>
      <c r="G178" s="17">
        <f t="shared" si="45"/>
        <v>5.8207660913467407E-11</v>
      </c>
      <c r="H178" s="17">
        <f>IF(X178="",0,IF(F178=0,ROUND(SUM(J$2:J178)*X178,2),0))</f>
        <v>0</v>
      </c>
      <c r="I178" s="17">
        <f t="shared" si="31"/>
        <v>0</v>
      </c>
      <c r="J178" s="17">
        <f>(Resumen!$C$10*(1-Resumen!$C$24)*(1+Incmat)^5)*C178</f>
        <v>0</v>
      </c>
      <c r="K178" s="17">
        <f>+IF(F178=1,PMT(X178,(Resumen!$C$36+Resumen!$C$26+Resumen!$C$14*6-B178+1),-Amortizacion!G178),0)</f>
        <v>0</v>
      </c>
      <c r="L178" s="17">
        <f t="shared" si="33"/>
        <v>0</v>
      </c>
      <c r="M178" s="17">
        <f>+IF(Resumen!$C$20="no",H178,0)</f>
        <v>0</v>
      </c>
      <c r="N178" s="17">
        <f t="shared" si="34"/>
        <v>5.8207660913467407E-11</v>
      </c>
      <c r="O178" s="17">
        <f>+IF(AND(Resumen!$C$18="SI",Amortizacion!E178=1),SUM($H$2:J178)*25%,0)</f>
        <v>0</v>
      </c>
      <c r="P178" s="1">
        <f t="shared" si="42"/>
        <v>0</v>
      </c>
      <c r="Q178" s="17">
        <f t="shared" si="43"/>
        <v>0</v>
      </c>
      <c r="R178" s="17">
        <f t="shared" si="35"/>
        <v>0</v>
      </c>
      <c r="S178" s="17">
        <f>(Resumen!$C$10*(Resumen!$C$24)*(1+Incmat)^5)*$C178</f>
        <v>0</v>
      </c>
      <c r="T178" s="21">
        <f t="shared" si="36"/>
        <v>0</v>
      </c>
      <c r="U178" s="17">
        <f t="shared" si="37"/>
        <v>0</v>
      </c>
      <c r="V178" s="17">
        <f t="shared" si="38"/>
        <v>0</v>
      </c>
      <c r="W178" s="17">
        <f t="shared" si="44"/>
        <v>5.8207660913467407E-11</v>
      </c>
      <c r="X178" s="15" t="str">
        <f>+IF(B178="","",Resumen!$C$34)</f>
        <v/>
      </c>
      <c r="Y178" s="16">
        <f t="shared" si="32"/>
        <v>0</v>
      </c>
      <c r="Z178" s="20">
        <f t="shared" si="39"/>
        <v>0</v>
      </c>
      <c r="AA178" s="20">
        <f t="shared" si="40"/>
        <v>0</v>
      </c>
      <c r="AB178" s="20">
        <f>+IF(Resumen!$C$8="no",0,W178*((1+10%)^(0.0833333333333333)-1))</f>
        <v>0</v>
      </c>
    </row>
    <row r="179" spans="1:28" x14ac:dyDescent="0.35">
      <c r="A179">
        <f t="shared" si="41"/>
        <v>178</v>
      </c>
      <c r="B179" t="str">
        <f>+IF(A179&gt;Resumen!$C$40,"",A179)</f>
        <v/>
      </c>
      <c r="C179" s="1">
        <f>+IFERROR(HLOOKUP($B179,Resumen!$F$3:$AM$10,8,0),0)</f>
        <v>0</v>
      </c>
      <c r="D179" s="1">
        <f>+IFERROR(HLOOKUP($B179,Resumen!$F$3:$AM$12,10),0)</f>
        <v>0</v>
      </c>
      <c r="E179" s="1">
        <f>+IF(B179=Resumen!$C$38*6-6,1,0)</f>
        <v>0</v>
      </c>
      <c r="F179" s="1">
        <f>+IFERROR(HLOOKUP($B179,Resumen!$F$3:$AM$14,12),0)</f>
        <v>0</v>
      </c>
      <c r="G179" s="17">
        <f t="shared" si="45"/>
        <v>5.8207660913467407E-11</v>
      </c>
      <c r="H179" s="17">
        <f>IF(X179="",0,IF(F179=0,ROUND(SUM(J$2:J179)*X179,2),0))</f>
        <v>0</v>
      </c>
      <c r="I179" s="17">
        <f t="shared" si="31"/>
        <v>0</v>
      </c>
      <c r="J179" s="17">
        <f>(Resumen!$C$10*(1-Resumen!$C$24)*(1+Incmat)^5)*C179</f>
        <v>0</v>
      </c>
      <c r="K179" s="17">
        <f>+IF(F179=1,PMT(X179,(Resumen!$C$36+Resumen!$C$26+Resumen!$C$14*6-B179+1),-Amortizacion!G179),0)</f>
        <v>0</v>
      </c>
      <c r="L179" s="17">
        <f t="shared" si="33"/>
        <v>0</v>
      </c>
      <c r="M179" s="17">
        <f>+IF(Resumen!$C$20="no",H179,0)</f>
        <v>0</v>
      </c>
      <c r="N179" s="17">
        <f t="shared" si="34"/>
        <v>5.8207660913467407E-11</v>
      </c>
      <c r="O179" s="17">
        <f>+IF(AND(Resumen!$C$18="SI",Amortizacion!E179=1),SUM($H$2:J179)*25%,0)</f>
        <v>0</v>
      </c>
      <c r="P179" s="1">
        <f t="shared" si="42"/>
        <v>0</v>
      </c>
      <c r="Q179" s="17">
        <f t="shared" si="43"/>
        <v>0</v>
      </c>
      <c r="R179" s="17">
        <f t="shared" si="35"/>
        <v>0</v>
      </c>
      <c r="S179" s="17">
        <f>(Resumen!$C$10*(Resumen!$C$24)*(1+Incmat)^5)*$C179</f>
        <v>0</v>
      </c>
      <c r="T179" s="21">
        <f t="shared" si="36"/>
        <v>0</v>
      </c>
      <c r="U179" s="17">
        <f t="shared" si="37"/>
        <v>0</v>
      </c>
      <c r="V179" s="17">
        <f t="shared" si="38"/>
        <v>0</v>
      </c>
      <c r="W179" s="17">
        <f t="shared" si="44"/>
        <v>5.8207660913467407E-11</v>
      </c>
      <c r="X179" s="15" t="str">
        <f>+IF(B179="","",Resumen!$C$34)</f>
        <v/>
      </c>
      <c r="Y179" s="16">
        <f t="shared" si="32"/>
        <v>0</v>
      </c>
      <c r="Z179" s="20">
        <f t="shared" si="39"/>
        <v>0</v>
      </c>
      <c r="AA179" s="20">
        <f t="shared" si="40"/>
        <v>0</v>
      </c>
      <c r="AB179" s="20">
        <f>+IF(Resumen!$C$8="no",0,W179*((1+10%)^(0.0833333333333333)-1))</f>
        <v>0</v>
      </c>
    </row>
    <row r="180" spans="1:28" x14ac:dyDescent="0.35">
      <c r="A180">
        <f t="shared" si="41"/>
        <v>179</v>
      </c>
      <c r="B180" t="str">
        <f>+IF(A180&gt;Resumen!$C$40,"",A180)</f>
        <v/>
      </c>
      <c r="C180" s="1">
        <f>+IFERROR(HLOOKUP($B180,Resumen!$F$3:$AM$10,8,0),0)</f>
        <v>0</v>
      </c>
      <c r="D180" s="1">
        <f>+IFERROR(HLOOKUP($B180,Resumen!$F$3:$AM$12,10),0)</f>
        <v>0</v>
      </c>
      <c r="E180" s="1">
        <f>+IF(B180=Resumen!$C$38*6-6,1,0)</f>
        <v>0</v>
      </c>
      <c r="F180" s="1">
        <f>+IFERROR(HLOOKUP($B180,Resumen!$F$3:$AM$14,12),0)</f>
        <v>0</v>
      </c>
      <c r="G180" s="17">
        <f t="shared" si="45"/>
        <v>5.8207660913467407E-11</v>
      </c>
      <c r="H180" s="17">
        <f>IF(X180="",0,IF(F180=0,ROUND(SUM(J$2:J180)*X180,2),0))</f>
        <v>0</v>
      </c>
      <c r="I180" s="17">
        <f t="shared" si="31"/>
        <v>0</v>
      </c>
      <c r="J180" s="17">
        <f>(Resumen!$C$10*(1-Resumen!$C$24)*(1+Incmat)^5)*C180</f>
        <v>0</v>
      </c>
      <c r="K180" s="17">
        <f>+IF(F180=1,PMT(X180,(Resumen!$C$36+Resumen!$C$26+Resumen!$C$14*6-B180+1),-Amortizacion!G180),0)</f>
        <v>0</v>
      </c>
      <c r="L180" s="17">
        <f t="shared" si="33"/>
        <v>0</v>
      </c>
      <c r="M180" s="17">
        <f>+IF(Resumen!$C$20="no",H180,0)</f>
        <v>0</v>
      </c>
      <c r="N180" s="17">
        <f t="shared" si="34"/>
        <v>5.8207660913467407E-11</v>
      </c>
      <c r="O180" s="17">
        <f>+IF(AND(Resumen!$C$18="SI",Amortizacion!E180=1),SUM($H$2:J180)*25%,0)</f>
        <v>0</v>
      </c>
      <c r="P180" s="1">
        <f t="shared" si="42"/>
        <v>0</v>
      </c>
      <c r="Q180" s="17">
        <f t="shared" si="43"/>
        <v>0</v>
      </c>
      <c r="R180" s="17">
        <f t="shared" si="35"/>
        <v>0</v>
      </c>
      <c r="S180" s="17">
        <f>(Resumen!$C$10*(Resumen!$C$24)*(1+Incmat)^5)*$C180</f>
        <v>0</v>
      </c>
      <c r="T180" s="21">
        <f t="shared" si="36"/>
        <v>0</v>
      </c>
      <c r="U180" s="17">
        <f t="shared" si="37"/>
        <v>0</v>
      </c>
      <c r="V180" s="17">
        <f t="shared" si="38"/>
        <v>0</v>
      </c>
      <c r="W180" s="17">
        <f t="shared" si="44"/>
        <v>5.8207660913467407E-11</v>
      </c>
      <c r="X180" s="15" t="str">
        <f>+IF(B180="","",Resumen!$C$34)</f>
        <v/>
      </c>
      <c r="Y180" s="16">
        <f t="shared" si="32"/>
        <v>0</v>
      </c>
      <c r="Z180" s="20">
        <f t="shared" si="39"/>
        <v>0</v>
      </c>
      <c r="AA180" s="20">
        <f t="shared" si="40"/>
        <v>0</v>
      </c>
      <c r="AB180" s="20">
        <f>+IF(Resumen!$C$8="no",0,W180*((1+10%)^(0.0833333333333333)-1))</f>
        <v>0</v>
      </c>
    </row>
    <row r="181" spans="1:28" x14ac:dyDescent="0.35">
      <c r="A181">
        <f t="shared" si="41"/>
        <v>180</v>
      </c>
      <c r="B181" t="str">
        <f>+IF(A181&gt;Resumen!$C$40,"",A181)</f>
        <v/>
      </c>
      <c r="C181" s="1">
        <f>+IFERROR(HLOOKUP($B181,Resumen!$F$3:$AM$10,8,0),0)</f>
        <v>0</v>
      </c>
      <c r="D181" s="1">
        <f>+IFERROR(HLOOKUP($B181,Resumen!$F$3:$AM$12,10),0)</f>
        <v>0</v>
      </c>
      <c r="E181" s="1">
        <f>+IF(B181=Resumen!$C$38*6-6,1,0)</f>
        <v>0</v>
      </c>
      <c r="F181" s="1">
        <f>+IFERROR(HLOOKUP($B181,Resumen!$F$3:$AM$14,12),0)</f>
        <v>0</v>
      </c>
      <c r="G181" s="17">
        <f t="shared" si="45"/>
        <v>5.8207660913467407E-11</v>
      </c>
      <c r="H181" s="17">
        <f>IF(X181="",0,IF(F181=0,ROUND(SUM(J$2:J181)*X181,2),0))</f>
        <v>0</v>
      </c>
      <c r="I181" s="17">
        <f t="shared" si="31"/>
        <v>0</v>
      </c>
      <c r="J181" s="17">
        <f>(Resumen!$C$10*(1-Resumen!$C$24)*(1+Incmat)^5)*C181</f>
        <v>0</v>
      </c>
      <c r="K181" s="17">
        <f>+IF(F181=1,PMT(X181,(Resumen!$C$36+Resumen!$C$26+Resumen!$C$14*6-B181+1),-Amortizacion!G181),0)</f>
        <v>0</v>
      </c>
      <c r="L181" s="17">
        <f t="shared" si="33"/>
        <v>0</v>
      </c>
      <c r="M181" s="17">
        <f>+IF(Resumen!$C$20="no",H181,0)</f>
        <v>0</v>
      </c>
      <c r="N181" s="17">
        <f t="shared" si="34"/>
        <v>5.8207660913467407E-11</v>
      </c>
      <c r="O181" s="17">
        <f>+IF(AND(Resumen!$C$18="SI",Amortizacion!E181=1),SUM($H$2:J181)*25%,0)</f>
        <v>0</v>
      </c>
      <c r="P181" s="1">
        <f t="shared" si="42"/>
        <v>0</v>
      </c>
      <c r="Q181" s="17">
        <f t="shared" si="43"/>
        <v>0</v>
      </c>
      <c r="R181" s="17">
        <f t="shared" si="35"/>
        <v>0</v>
      </c>
      <c r="S181" s="17">
        <f>(Resumen!$C$10*(Resumen!$C$24)*(1+Incmat)^5)*$C181</f>
        <v>0</v>
      </c>
      <c r="T181" s="21">
        <f t="shared" si="36"/>
        <v>0</v>
      </c>
      <c r="U181" s="17">
        <f t="shared" si="37"/>
        <v>0</v>
      </c>
      <c r="V181" s="17">
        <f t="shared" si="38"/>
        <v>0</v>
      </c>
      <c r="W181" s="17">
        <f t="shared" si="44"/>
        <v>5.8207660913467407E-11</v>
      </c>
      <c r="X181" s="15" t="str">
        <f>+IF(B181="","",Resumen!$C$34)</f>
        <v/>
      </c>
      <c r="Y181" s="16">
        <f t="shared" si="32"/>
        <v>0</v>
      </c>
      <c r="Z181" s="20">
        <f t="shared" si="39"/>
        <v>0</v>
      </c>
      <c r="AA181" s="20">
        <f t="shared" si="40"/>
        <v>0</v>
      </c>
      <c r="AB181" s="20">
        <f>+IF(Resumen!$C$8="no",0,W181*((1+10%)^(0.0833333333333333)-1))</f>
        <v>0</v>
      </c>
    </row>
    <row r="182" spans="1:28" x14ac:dyDescent="0.35">
      <c r="A182">
        <f t="shared" si="41"/>
        <v>181</v>
      </c>
      <c r="B182" t="str">
        <f>+IF(A182&gt;Resumen!$C$40,"",A182)</f>
        <v/>
      </c>
      <c r="C182" s="1">
        <f>+IFERROR(HLOOKUP($B182,Resumen!$F$3:$AM$10,8,0),0)</f>
        <v>0</v>
      </c>
      <c r="D182" s="1">
        <f>+IFERROR(HLOOKUP($B182,Resumen!$F$3:$AM$12,10),0)</f>
        <v>0</v>
      </c>
      <c r="E182" s="1">
        <f>+IF(B182=Resumen!$C$38*6-6,1,0)</f>
        <v>0</v>
      </c>
      <c r="F182" s="1">
        <f>+IFERROR(HLOOKUP($B182,Resumen!$F$3:$AM$14,12),0)</f>
        <v>0</v>
      </c>
      <c r="G182" s="17">
        <f t="shared" si="45"/>
        <v>5.8207660913467407E-11</v>
      </c>
      <c r="H182" s="17">
        <f>IF(X182="",0,IF(F182=0,ROUND(SUM(J$2:J182)*X182,2),0))</f>
        <v>0</v>
      </c>
      <c r="I182" s="17">
        <f t="shared" si="31"/>
        <v>0</v>
      </c>
      <c r="J182" s="17">
        <f>(Resumen!$C$10*(1-Resumen!$C$24)*(1+Incmat)^5)*C182</f>
        <v>0</v>
      </c>
      <c r="K182" s="17">
        <f>+IF(F182=1,PMT(X182,(Resumen!$C$36+Resumen!$C$26+Resumen!$C$14*6-B182+1),-Amortizacion!G182),0)</f>
        <v>0</v>
      </c>
      <c r="L182" s="17">
        <f t="shared" si="33"/>
        <v>0</v>
      </c>
      <c r="M182" s="17">
        <f>+IF(Resumen!$C$20="no",H182,0)</f>
        <v>0</v>
      </c>
      <c r="N182" s="17">
        <f t="shared" si="34"/>
        <v>5.8207660913467407E-11</v>
      </c>
      <c r="O182" s="17">
        <f>+IF(AND(Resumen!$C$18="SI",Amortizacion!E182=1),SUM($H$2:J182)*25%,0)</f>
        <v>0</v>
      </c>
      <c r="P182" s="1">
        <f t="shared" si="42"/>
        <v>0</v>
      </c>
      <c r="Q182" s="17">
        <f t="shared" si="43"/>
        <v>0</v>
      </c>
      <c r="R182" s="17">
        <f t="shared" si="35"/>
        <v>0</v>
      </c>
      <c r="S182" s="17">
        <f>(Resumen!$C$10*(Resumen!$C$24)*(1+Incmat)^5)*$C182</f>
        <v>0</v>
      </c>
      <c r="T182" s="21">
        <f t="shared" si="36"/>
        <v>0</v>
      </c>
      <c r="U182" s="17">
        <f t="shared" si="37"/>
        <v>0</v>
      </c>
      <c r="V182" s="17">
        <f t="shared" si="38"/>
        <v>0</v>
      </c>
      <c r="W182" s="17">
        <f t="shared" si="44"/>
        <v>5.8207660913467407E-11</v>
      </c>
      <c r="X182" s="15" t="str">
        <f>+IF(B182="","",Resumen!$C$34)</f>
        <v/>
      </c>
      <c r="Y182" s="16">
        <f t="shared" si="32"/>
        <v>0</v>
      </c>
      <c r="Z182" s="20">
        <f t="shared" si="39"/>
        <v>0</v>
      </c>
      <c r="AA182" s="20">
        <f t="shared" si="40"/>
        <v>0</v>
      </c>
      <c r="AB182" s="20">
        <f>+IF(Resumen!$C$8="no",0,W182*((1+10%)^(0.0833333333333333)-1))</f>
        <v>0</v>
      </c>
    </row>
    <row r="183" spans="1:28" x14ac:dyDescent="0.35">
      <c r="A183">
        <f t="shared" si="41"/>
        <v>182</v>
      </c>
      <c r="B183" t="str">
        <f>+IF(A183&gt;Resumen!$C$40,"",A183)</f>
        <v/>
      </c>
      <c r="C183" s="1">
        <f>+IFERROR(HLOOKUP($B183,Resumen!$F$3:$AM$10,8,0),0)</f>
        <v>0</v>
      </c>
      <c r="D183" s="1">
        <f>+IFERROR(HLOOKUP($B183,Resumen!$F$3:$AM$12,10),0)</f>
        <v>0</v>
      </c>
      <c r="E183" s="1">
        <f>+IF(B183=Resumen!$C$38*6-6,1,0)</f>
        <v>0</v>
      </c>
      <c r="F183" s="1">
        <f>+IFERROR(HLOOKUP($B183,Resumen!$F$3:$AM$14,12),0)</f>
        <v>0</v>
      </c>
      <c r="G183" s="17">
        <f t="shared" si="45"/>
        <v>5.8207660913467407E-11</v>
      </c>
      <c r="H183" s="17">
        <f>IF(X183="",0,IF(F183=0,ROUND(SUM(J$2:J183)*X183,2),0))</f>
        <v>0</v>
      </c>
      <c r="I183" s="17">
        <f t="shared" si="31"/>
        <v>0</v>
      </c>
      <c r="J183" s="17">
        <f>(Resumen!$C$10*(1-Resumen!$C$24)*(1+Incmat)^5)*C183</f>
        <v>0</v>
      </c>
      <c r="K183" s="17">
        <f>+IF(F183=1,PMT(X183,(Resumen!$C$36+Resumen!$C$26+Resumen!$C$14*6-B183+1),-Amortizacion!G183),0)</f>
        <v>0</v>
      </c>
      <c r="L183" s="17">
        <f t="shared" si="33"/>
        <v>0</v>
      </c>
      <c r="M183" s="17">
        <f>+IF(Resumen!$C$20="no",H183,0)</f>
        <v>0</v>
      </c>
      <c r="N183" s="17">
        <f t="shared" si="34"/>
        <v>5.8207660913467407E-11</v>
      </c>
      <c r="O183" s="17">
        <f>+IF(AND(Resumen!$C$18="SI",Amortizacion!E183=1),SUM($H$2:J183)*25%,0)</f>
        <v>0</v>
      </c>
      <c r="P183" s="1">
        <f t="shared" si="42"/>
        <v>0</v>
      </c>
      <c r="Q183" s="17">
        <f t="shared" si="43"/>
        <v>0</v>
      </c>
      <c r="R183" s="17">
        <f t="shared" si="35"/>
        <v>0</v>
      </c>
      <c r="S183" s="17">
        <f>(Resumen!$C$10*(Resumen!$C$24)*(1+Incmat)^5)*$C183</f>
        <v>0</v>
      </c>
      <c r="T183" s="21">
        <f t="shared" si="36"/>
        <v>0</v>
      </c>
      <c r="U183" s="17">
        <f t="shared" si="37"/>
        <v>0</v>
      </c>
      <c r="V183" s="17">
        <f t="shared" si="38"/>
        <v>0</v>
      </c>
      <c r="W183" s="17">
        <f t="shared" si="44"/>
        <v>5.8207660913467407E-11</v>
      </c>
      <c r="X183" s="15" t="str">
        <f>+IF(B183="","",Resumen!$C$34)</f>
        <v/>
      </c>
      <c r="Y183" s="16">
        <f t="shared" si="32"/>
        <v>0</v>
      </c>
      <c r="Z183" s="20">
        <f t="shared" si="39"/>
        <v>0</v>
      </c>
      <c r="AA183" s="20">
        <f t="shared" si="40"/>
        <v>0</v>
      </c>
      <c r="AB183" s="20">
        <f>+IF(Resumen!$C$8="no",0,W183*((1+10%)^(0.0833333333333333)-1))</f>
        <v>0</v>
      </c>
    </row>
    <row r="184" spans="1:28" x14ac:dyDescent="0.35">
      <c r="A184">
        <f t="shared" si="41"/>
        <v>183</v>
      </c>
      <c r="B184" t="str">
        <f>+IF(A184&gt;Resumen!$C$40,"",A184)</f>
        <v/>
      </c>
      <c r="C184" s="1">
        <f>+IFERROR(HLOOKUP($B184,Resumen!$F$3:$AM$10,8,0),0)</f>
        <v>0</v>
      </c>
      <c r="D184" s="1">
        <f>+IFERROR(HLOOKUP($B184,Resumen!$F$3:$AM$12,10),0)</f>
        <v>0</v>
      </c>
      <c r="E184" s="1">
        <f>+IF(B184=Resumen!$C$38*6-6,1,0)</f>
        <v>0</v>
      </c>
      <c r="F184" s="1">
        <f>+IFERROR(HLOOKUP($B184,Resumen!$F$3:$AM$14,12),0)</f>
        <v>0</v>
      </c>
      <c r="G184" s="17">
        <f t="shared" si="45"/>
        <v>5.8207660913467407E-11</v>
      </c>
      <c r="H184" s="17">
        <f>IF(X184="",0,IF(F184=0,ROUND(SUM(J$2:J184)*X184,2),0))</f>
        <v>0</v>
      </c>
      <c r="I184" s="17">
        <f t="shared" si="31"/>
        <v>0</v>
      </c>
      <c r="J184" s="17">
        <f>(Resumen!$C$10*(1-Resumen!$C$24)*(1+Incmat)^5)*C184</f>
        <v>0</v>
      </c>
      <c r="K184" s="17">
        <f>+IF(F184=1,PMT(X184,(Resumen!$C$36+Resumen!$C$26+Resumen!$C$14*6-B184+1),-Amortizacion!G184),0)</f>
        <v>0</v>
      </c>
      <c r="L184" s="17">
        <f t="shared" si="33"/>
        <v>0</v>
      </c>
      <c r="M184" s="17">
        <f>+IF(Resumen!$C$20="no",H184,0)</f>
        <v>0</v>
      </c>
      <c r="N184" s="17">
        <f t="shared" si="34"/>
        <v>5.8207660913467407E-11</v>
      </c>
      <c r="O184" s="17">
        <f>+IF(AND(Resumen!$C$18="SI",Amortizacion!E184=1),SUM($H$2:J184)*25%,0)</f>
        <v>0</v>
      </c>
      <c r="P184" s="1">
        <f t="shared" si="42"/>
        <v>0</v>
      </c>
      <c r="Q184" s="17">
        <f t="shared" si="43"/>
        <v>0</v>
      </c>
      <c r="R184" s="17">
        <f t="shared" si="35"/>
        <v>0</v>
      </c>
      <c r="S184" s="17">
        <f>(Resumen!$C$10*(Resumen!$C$24)*(1+Incmat)^5)*$C184</f>
        <v>0</v>
      </c>
      <c r="T184" s="21">
        <f t="shared" si="36"/>
        <v>0</v>
      </c>
      <c r="U184" s="17">
        <f t="shared" si="37"/>
        <v>0</v>
      </c>
      <c r="V184" s="17">
        <f t="shared" si="38"/>
        <v>0</v>
      </c>
      <c r="W184" s="17">
        <f t="shared" si="44"/>
        <v>5.8207660913467407E-11</v>
      </c>
      <c r="X184" s="15" t="str">
        <f>+IF(B184="","",Resumen!$C$34)</f>
        <v/>
      </c>
      <c r="Y184" s="16">
        <f t="shared" si="32"/>
        <v>0</v>
      </c>
      <c r="Z184" s="20">
        <f t="shared" si="39"/>
        <v>0</v>
      </c>
      <c r="AA184" s="20">
        <f t="shared" si="40"/>
        <v>0</v>
      </c>
      <c r="AB184" s="20">
        <f>+IF(Resumen!$C$8="no",0,W184*((1+10%)^(0.0833333333333333)-1))</f>
        <v>0</v>
      </c>
    </row>
    <row r="185" spans="1:28" x14ac:dyDescent="0.35">
      <c r="A185">
        <f t="shared" si="41"/>
        <v>184</v>
      </c>
      <c r="B185" t="str">
        <f>+IF(A185&gt;Resumen!$C$40,"",A185)</f>
        <v/>
      </c>
      <c r="C185" s="1">
        <f>+IFERROR(HLOOKUP($B185,Resumen!$F$3:$AM$10,8,0),0)</f>
        <v>0</v>
      </c>
      <c r="D185" s="1">
        <f>+IFERROR(HLOOKUP($B185,Resumen!$F$3:$AM$12,10),0)</f>
        <v>0</v>
      </c>
      <c r="E185" s="1">
        <f>+IF(B185=Resumen!$C$38*6-6,1,0)</f>
        <v>0</v>
      </c>
      <c r="F185" s="1">
        <f>+IFERROR(HLOOKUP($B185,Resumen!$F$3:$AM$14,12),0)</f>
        <v>0</v>
      </c>
      <c r="G185" s="17">
        <f t="shared" si="45"/>
        <v>5.8207660913467407E-11</v>
      </c>
      <c r="H185" s="17">
        <f>IF(X185="",0,IF(F185=0,ROUND(SUM(J$2:J185)*X185,2),0))</f>
        <v>0</v>
      </c>
      <c r="I185" s="17">
        <f t="shared" si="31"/>
        <v>0</v>
      </c>
      <c r="J185" s="17">
        <f>(Resumen!$C$10*(1-Resumen!$C$24)*(1+Incmat)^5)*C185</f>
        <v>0</v>
      </c>
      <c r="K185" s="17">
        <f>+IF(F185=1,PMT(X185,(Resumen!$C$36+Resumen!$C$26+Resumen!$C$14*6-B185+1),-Amortizacion!G185),0)</f>
        <v>0</v>
      </c>
      <c r="L185" s="17">
        <f t="shared" si="33"/>
        <v>0</v>
      </c>
      <c r="M185" s="17">
        <f>+IF(Resumen!$C$20="no",H185,0)</f>
        <v>0</v>
      </c>
      <c r="N185" s="17">
        <f t="shared" si="34"/>
        <v>5.8207660913467407E-11</v>
      </c>
      <c r="O185" s="17">
        <f>+IF(AND(Resumen!$C$18="SI",Amortizacion!E185=1),SUM($H$2:J185)*25%,0)</f>
        <v>0</v>
      </c>
      <c r="P185" s="1">
        <f t="shared" si="42"/>
        <v>0</v>
      </c>
      <c r="Q185" s="17">
        <f t="shared" si="43"/>
        <v>0</v>
      </c>
      <c r="R185" s="17">
        <f t="shared" si="35"/>
        <v>0</v>
      </c>
      <c r="S185" s="17">
        <f>(Resumen!$C$10*(Resumen!$C$24)*(1+Incmat)^5)*$C185</f>
        <v>0</v>
      </c>
      <c r="T185" s="21">
        <f t="shared" si="36"/>
        <v>0</v>
      </c>
      <c r="U185" s="17">
        <f t="shared" si="37"/>
        <v>0</v>
      </c>
      <c r="V185" s="17">
        <f t="shared" si="38"/>
        <v>0</v>
      </c>
      <c r="W185" s="17">
        <f t="shared" si="44"/>
        <v>5.8207660913467407E-11</v>
      </c>
      <c r="X185" s="15" t="str">
        <f>+IF(B185="","",Resumen!$C$34)</f>
        <v/>
      </c>
      <c r="Y185" s="16">
        <f t="shared" si="32"/>
        <v>0</v>
      </c>
      <c r="Z185" s="20">
        <f t="shared" si="39"/>
        <v>0</v>
      </c>
      <c r="AA185" s="20">
        <f t="shared" si="40"/>
        <v>0</v>
      </c>
      <c r="AB185" s="20">
        <f>+IF(Resumen!$C$8="no",0,W185*((1+10%)^(0.0833333333333333)-1))</f>
        <v>0</v>
      </c>
    </row>
    <row r="186" spans="1:28" x14ac:dyDescent="0.35">
      <c r="A186">
        <f t="shared" si="41"/>
        <v>185</v>
      </c>
      <c r="B186" t="str">
        <f>+IF(A186&gt;Resumen!$C$40,"",A186)</f>
        <v/>
      </c>
      <c r="C186" s="1">
        <f>+IFERROR(HLOOKUP($B186,Resumen!$F$3:$AM$10,8,0),0)</f>
        <v>0</v>
      </c>
      <c r="D186" s="1">
        <f>+IFERROR(HLOOKUP($B186,Resumen!$F$3:$AM$12,10),0)</f>
        <v>0</v>
      </c>
      <c r="E186" s="1">
        <f>+IF(B186=Resumen!$C$38*6-6,1,0)</f>
        <v>0</v>
      </c>
      <c r="F186" s="1">
        <f>+IFERROR(HLOOKUP($B186,Resumen!$F$3:$AM$14,12),0)</f>
        <v>0</v>
      </c>
      <c r="G186" s="17">
        <f t="shared" si="45"/>
        <v>5.8207660913467407E-11</v>
      </c>
      <c r="H186" s="17">
        <f>IF(X186="",0,IF(F186=0,ROUND(SUM(J$2:J186)*X186,2),0))</f>
        <v>0</v>
      </c>
      <c r="I186" s="17">
        <f t="shared" si="31"/>
        <v>0</v>
      </c>
      <c r="J186" s="17">
        <f>(Resumen!$C$10*(1-Resumen!$C$24)*(1+Incmat)^5)*C186</f>
        <v>0</v>
      </c>
      <c r="K186" s="17">
        <f>+IF(F186=1,PMT(X186,(Resumen!$C$36+Resumen!$C$26+Resumen!$C$14*6-B186+1),-Amortizacion!G186),0)</f>
        <v>0</v>
      </c>
      <c r="L186" s="17">
        <f t="shared" si="33"/>
        <v>0</v>
      </c>
      <c r="M186" s="17">
        <f>+IF(Resumen!$C$20="no",H186,0)</f>
        <v>0</v>
      </c>
      <c r="N186" s="17">
        <f t="shared" si="34"/>
        <v>5.8207660913467407E-11</v>
      </c>
      <c r="O186" s="17">
        <f>+IF(AND(Resumen!$C$18="SI",Amortizacion!E186=1),SUM($H$2:J186)*25%,0)</f>
        <v>0</v>
      </c>
      <c r="P186" s="1">
        <f t="shared" si="42"/>
        <v>0</v>
      </c>
      <c r="Q186" s="17">
        <f t="shared" si="43"/>
        <v>0</v>
      </c>
      <c r="R186" s="17">
        <f t="shared" si="35"/>
        <v>0</v>
      </c>
      <c r="S186" s="17">
        <f>(Resumen!$C$10*(Resumen!$C$24)*(1+Incmat)^5)*$C186</f>
        <v>0</v>
      </c>
      <c r="T186" s="21">
        <f t="shared" si="36"/>
        <v>0</v>
      </c>
      <c r="U186" s="17">
        <f t="shared" si="37"/>
        <v>0</v>
      </c>
      <c r="V186" s="17">
        <f t="shared" si="38"/>
        <v>0</v>
      </c>
      <c r="W186" s="17">
        <f t="shared" si="44"/>
        <v>5.8207660913467407E-11</v>
      </c>
      <c r="X186" s="15" t="str">
        <f>+IF(B186="","",Resumen!$C$34)</f>
        <v/>
      </c>
      <c r="Y186" s="16">
        <f t="shared" si="32"/>
        <v>0</v>
      </c>
      <c r="Z186" s="20">
        <f t="shared" si="39"/>
        <v>0</v>
      </c>
      <c r="AA186" s="20">
        <f t="shared" si="40"/>
        <v>0</v>
      </c>
      <c r="AB186" s="20">
        <f>+IF(Resumen!$C$8="no",0,W186*((1+10%)^(0.0833333333333333)-1))</f>
        <v>0</v>
      </c>
    </row>
    <row r="187" spans="1:28" x14ac:dyDescent="0.35">
      <c r="A187">
        <f t="shared" si="41"/>
        <v>186</v>
      </c>
      <c r="B187" t="str">
        <f>+IF(A187&gt;Resumen!$C$40,"",A187)</f>
        <v/>
      </c>
      <c r="C187" s="1">
        <f>+IFERROR(HLOOKUP($B187,Resumen!$F$3:$AM$10,8,0),0)</f>
        <v>0</v>
      </c>
      <c r="D187" s="1">
        <f>+IFERROR(HLOOKUP($B187,Resumen!$F$3:$AM$12,10),0)</f>
        <v>0</v>
      </c>
      <c r="E187" s="1">
        <f>+IF(B187=Resumen!$C$38*6-6,1,0)</f>
        <v>0</v>
      </c>
      <c r="F187" s="1">
        <f>+IFERROR(HLOOKUP($B187,Resumen!$F$3:$AM$14,12),0)</f>
        <v>0</v>
      </c>
      <c r="G187" s="17">
        <f t="shared" si="45"/>
        <v>5.8207660913467407E-11</v>
      </c>
      <c r="H187" s="17">
        <f>IF(X187="",0,IF(F187=0,ROUND(SUM(J$2:J187)*X187,2),0))</f>
        <v>0</v>
      </c>
      <c r="I187" s="17">
        <f t="shared" si="31"/>
        <v>0</v>
      </c>
      <c r="J187" s="17">
        <f>(Resumen!$C$10*(1-Resumen!$C$24)*(1+Incmat)^5)*C187</f>
        <v>0</v>
      </c>
      <c r="K187" s="17">
        <f>+IF(F187=1,PMT(X187,(Resumen!$C$36+Resumen!$C$26+Resumen!$C$14*6-B187+1),-Amortizacion!G187),0)</f>
        <v>0</v>
      </c>
      <c r="L187" s="17">
        <f t="shared" si="33"/>
        <v>0</v>
      </c>
      <c r="M187" s="17">
        <f>+IF(Resumen!$C$20="no",H187,0)</f>
        <v>0</v>
      </c>
      <c r="N187" s="17">
        <f t="shared" si="34"/>
        <v>5.8207660913467407E-11</v>
      </c>
      <c r="O187" s="17">
        <f>+IF(AND(Resumen!$C$18="SI",Amortizacion!E187=1),SUM($H$2:J187)*25%,0)</f>
        <v>0</v>
      </c>
      <c r="P187" s="1">
        <f t="shared" si="42"/>
        <v>0</v>
      </c>
      <c r="Q187" s="17">
        <f t="shared" si="43"/>
        <v>0</v>
      </c>
      <c r="R187" s="17">
        <f t="shared" si="35"/>
        <v>0</v>
      </c>
      <c r="S187" s="17">
        <f>(Resumen!$C$10*(Resumen!$C$24)*(1+Incmat)^5)*$C187</f>
        <v>0</v>
      </c>
      <c r="T187" s="21">
        <f t="shared" si="36"/>
        <v>0</v>
      </c>
      <c r="U187" s="17">
        <f t="shared" si="37"/>
        <v>0</v>
      </c>
      <c r="V187" s="17">
        <f t="shared" si="38"/>
        <v>0</v>
      </c>
      <c r="W187" s="17">
        <f t="shared" si="44"/>
        <v>5.8207660913467407E-11</v>
      </c>
      <c r="X187" s="15" t="str">
        <f>+IF(B187="","",Resumen!$C$34)</f>
        <v/>
      </c>
      <c r="Y187" s="16">
        <f t="shared" si="32"/>
        <v>0</v>
      </c>
      <c r="Z187" s="20">
        <f t="shared" si="39"/>
        <v>0</v>
      </c>
      <c r="AA187" s="20">
        <f t="shared" si="40"/>
        <v>0</v>
      </c>
      <c r="AB187" s="20">
        <f>+IF(Resumen!$C$8="no",0,W187*((1+10%)^(0.0833333333333333)-1))</f>
        <v>0</v>
      </c>
    </row>
    <row r="188" spans="1:28" x14ac:dyDescent="0.35">
      <c r="A188">
        <f t="shared" si="41"/>
        <v>187</v>
      </c>
      <c r="B188" t="str">
        <f>+IF(A188&gt;Resumen!$C$40,"",A188)</f>
        <v/>
      </c>
      <c r="C188" s="1">
        <f>+IFERROR(HLOOKUP($B188,Resumen!$F$3:$AM$10,8,0),0)</f>
        <v>0</v>
      </c>
      <c r="D188" s="1">
        <f>+IFERROR(HLOOKUP($B188,Resumen!$F$3:$AM$12,10),0)</f>
        <v>0</v>
      </c>
      <c r="E188" s="1">
        <f>+IF(B188=Resumen!$C$38*6-6,1,0)</f>
        <v>0</v>
      </c>
      <c r="F188" s="1">
        <f>+IFERROR(HLOOKUP($B188,Resumen!$F$3:$AM$14,12),0)</f>
        <v>0</v>
      </c>
      <c r="G188" s="17">
        <f t="shared" si="45"/>
        <v>5.8207660913467407E-11</v>
      </c>
      <c r="H188" s="17">
        <f>IF(X188="",0,IF(F188=0,ROUND(SUM(J$2:J188)*X188,2),0))</f>
        <v>0</v>
      </c>
      <c r="I188" s="17">
        <f t="shared" si="31"/>
        <v>0</v>
      </c>
      <c r="J188" s="17">
        <f>(Resumen!$C$10*(1-Resumen!$C$24)*(1+Incmat)^5)*C188</f>
        <v>0</v>
      </c>
      <c r="K188" s="17">
        <f>+IF(F188=1,PMT(X188,(Resumen!$C$36+Resumen!$C$26+Resumen!$C$14*6-B188+1),-Amortizacion!G188),0)</f>
        <v>0</v>
      </c>
      <c r="L188" s="17">
        <f t="shared" si="33"/>
        <v>0</v>
      </c>
      <c r="M188" s="17">
        <f>+IF(Resumen!$C$20="no",H188,0)</f>
        <v>0</v>
      </c>
      <c r="N188" s="17">
        <f t="shared" si="34"/>
        <v>5.8207660913467407E-11</v>
      </c>
      <c r="O188" s="17">
        <f>+IF(AND(Resumen!$C$18="SI",Amortizacion!E188=1),SUM($H$2:J188)*25%,0)</f>
        <v>0</v>
      </c>
      <c r="P188" s="1">
        <f t="shared" si="42"/>
        <v>0</v>
      </c>
      <c r="Q188" s="17">
        <f t="shared" si="43"/>
        <v>0</v>
      </c>
      <c r="R188" s="17">
        <f t="shared" si="35"/>
        <v>0</v>
      </c>
      <c r="S188" s="17">
        <f>(Resumen!$C$10*(Resumen!$C$24)*(1+Incmat)^5)*$C188</f>
        <v>0</v>
      </c>
      <c r="T188" s="21">
        <f t="shared" si="36"/>
        <v>0</v>
      </c>
      <c r="U188" s="17">
        <f t="shared" si="37"/>
        <v>0</v>
      </c>
      <c r="V188" s="17">
        <f t="shared" si="38"/>
        <v>0</v>
      </c>
      <c r="W188" s="17">
        <f t="shared" si="44"/>
        <v>5.8207660913467407E-11</v>
      </c>
      <c r="X188" s="15" t="str">
        <f>+IF(B188="","",Resumen!$C$34)</f>
        <v/>
      </c>
      <c r="Y188" s="16">
        <f t="shared" si="32"/>
        <v>0</v>
      </c>
      <c r="Z188" s="20">
        <f t="shared" si="39"/>
        <v>0</v>
      </c>
      <c r="AA188" s="20">
        <f t="shared" si="40"/>
        <v>0</v>
      </c>
      <c r="AB188" s="20">
        <f>+IF(Resumen!$C$8="no",0,W188*((1+10%)^(0.0833333333333333)-1))</f>
        <v>0</v>
      </c>
    </row>
    <row r="189" spans="1:28" x14ac:dyDescent="0.35">
      <c r="A189">
        <f t="shared" si="41"/>
        <v>188</v>
      </c>
      <c r="B189" t="str">
        <f>+IF(A189&gt;Resumen!$C$40,"",A189)</f>
        <v/>
      </c>
      <c r="C189" s="1">
        <f>+IFERROR(HLOOKUP($B189,Resumen!$F$3:$AM$10,8,0),0)</f>
        <v>0</v>
      </c>
      <c r="D189" s="1">
        <f>+IFERROR(HLOOKUP($B189,Resumen!$F$3:$AM$12,10),0)</f>
        <v>0</v>
      </c>
      <c r="E189" s="1">
        <f>+IF(B189=Resumen!$C$38*6-6,1,0)</f>
        <v>0</v>
      </c>
      <c r="F189" s="1">
        <f>+IFERROR(HLOOKUP($B189,Resumen!$F$3:$AM$14,12),0)</f>
        <v>0</v>
      </c>
      <c r="G189" s="17">
        <f t="shared" si="45"/>
        <v>5.8207660913467407E-11</v>
      </c>
      <c r="H189" s="17">
        <f>IF(X189="",0,IF(F189=0,ROUND(SUM(J$2:J189)*X189,2),0))</f>
        <v>0</v>
      </c>
      <c r="I189" s="17">
        <f t="shared" si="31"/>
        <v>0</v>
      </c>
      <c r="J189" s="17">
        <f>(Resumen!$C$10*(1-Resumen!$C$24)*(1+Incmat)^5)*C189</f>
        <v>0</v>
      </c>
      <c r="K189" s="17">
        <f>+IF(F189=1,PMT(X189,(Resumen!$C$36+Resumen!$C$26+Resumen!$C$14*6-B189+1),-Amortizacion!G189),0)</f>
        <v>0</v>
      </c>
      <c r="L189" s="17">
        <f t="shared" si="33"/>
        <v>0</v>
      </c>
      <c r="M189" s="17">
        <f>+IF(Resumen!$C$20="no",H189,0)</f>
        <v>0</v>
      </c>
      <c r="N189" s="17">
        <f t="shared" si="34"/>
        <v>5.8207660913467407E-11</v>
      </c>
      <c r="O189" s="17">
        <f>+IF(AND(Resumen!$C$18="SI",Amortizacion!E189=1),SUM($H$2:J189)*25%,0)</f>
        <v>0</v>
      </c>
      <c r="P189" s="1">
        <f t="shared" si="42"/>
        <v>0</v>
      </c>
      <c r="Q189" s="17">
        <f t="shared" si="43"/>
        <v>0</v>
      </c>
      <c r="R189" s="17">
        <f t="shared" si="35"/>
        <v>0</v>
      </c>
      <c r="S189" s="17">
        <f>(Resumen!$C$10*(Resumen!$C$24)*(1+Incmat)^5)*$C189</f>
        <v>0</v>
      </c>
      <c r="T189" s="21">
        <f t="shared" si="36"/>
        <v>0</v>
      </c>
      <c r="U189" s="17">
        <f t="shared" si="37"/>
        <v>0</v>
      </c>
      <c r="V189" s="17">
        <f t="shared" si="38"/>
        <v>0</v>
      </c>
      <c r="W189" s="17">
        <f t="shared" si="44"/>
        <v>5.8207660913467407E-11</v>
      </c>
      <c r="X189" s="15" t="str">
        <f>+IF(B189="","",Resumen!$C$34)</f>
        <v/>
      </c>
      <c r="Y189" s="16">
        <f t="shared" si="32"/>
        <v>0</v>
      </c>
      <c r="Z189" s="20">
        <f t="shared" si="39"/>
        <v>0</v>
      </c>
      <c r="AA189" s="20">
        <f t="shared" si="40"/>
        <v>0</v>
      </c>
      <c r="AB189" s="20">
        <f>+IF(Resumen!$C$8="no",0,W189*((1+10%)^(0.0833333333333333)-1))</f>
        <v>0</v>
      </c>
    </row>
    <row r="190" spans="1:28" x14ac:dyDescent="0.35">
      <c r="A190">
        <f t="shared" si="41"/>
        <v>189</v>
      </c>
      <c r="B190" t="str">
        <f>+IF(A190&gt;Resumen!$C$40,"",A190)</f>
        <v/>
      </c>
      <c r="C190" s="1">
        <f>+IFERROR(HLOOKUP($B190,Resumen!$F$3:$AM$10,8,0),0)</f>
        <v>0</v>
      </c>
      <c r="D190" s="1">
        <f>+IFERROR(HLOOKUP($B190,Resumen!$F$3:$AM$12,10),0)</f>
        <v>0</v>
      </c>
      <c r="E190" s="1">
        <f>+IF(B190=Resumen!$C$38*6-6,1,0)</f>
        <v>0</v>
      </c>
      <c r="F190" s="1">
        <f>+IFERROR(HLOOKUP($B190,Resumen!$F$3:$AM$14,12),0)</f>
        <v>0</v>
      </c>
      <c r="G190" s="17">
        <f t="shared" si="45"/>
        <v>5.8207660913467407E-11</v>
      </c>
      <c r="H190" s="17">
        <f>IF(X190="",0,IF(F190=0,ROUND(SUM(J$2:J190)*X190,2),0))</f>
        <v>0</v>
      </c>
      <c r="I190" s="17">
        <f t="shared" si="31"/>
        <v>0</v>
      </c>
      <c r="J190" s="17">
        <f>(Resumen!$C$10*(1-Resumen!$C$24)*(1+Incmat)^5)*C190</f>
        <v>0</v>
      </c>
      <c r="K190" s="17">
        <f>+IF(F190=1,PMT(X190,(Resumen!$C$36+Resumen!$C$26+Resumen!$C$14*6-B190+1),-Amortizacion!G190),0)</f>
        <v>0</v>
      </c>
      <c r="L190" s="17">
        <f t="shared" si="33"/>
        <v>0</v>
      </c>
      <c r="M190" s="17">
        <f>+IF(Resumen!$C$20="no",H190,0)</f>
        <v>0</v>
      </c>
      <c r="N190" s="17">
        <f t="shared" si="34"/>
        <v>5.8207660913467407E-11</v>
      </c>
      <c r="O190" s="17">
        <f>+IF(AND(Resumen!$C$18="SI",Amortizacion!E190=1),SUM($H$2:J190)*25%,0)</f>
        <v>0</v>
      </c>
      <c r="P190" s="1">
        <f t="shared" si="42"/>
        <v>0</v>
      </c>
      <c r="Q190" s="17">
        <f t="shared" si="43"/>
        <v>0</v>
      </c>
      <c r="R190" s="17">
        <f t="shared" si="35"/>
        <v>0</v>
      </c>
      <c r="S190" s="17">
        <f>(Resumen!$C$10*(Resumen!$C$24)*(1+Incmat)^5)*$C190</f>
        <v>0</v>
      </c>
      <c r="T190" s="21">
        <f t="shared" si="36"/>
        <v>0</v>
      </c>
      <c r="U190" s="17">
        <f t="shared" si="37"/>
        <v>0</v>
      </c>
      <c r="V190" s="17">
        <f t="shared" si="38"/>
        <v>0</v>
      </c>
      <c r="W190" s="17">
        <f t="shared" si="44"/>
        <v>5.8207660913467407E-11</v>
      </c>
      <c r="X190" s="15" t="str">
        <f>+IF(B190="","",Resumen!$C$34)</f>
        <v/>
      </c>
      <c r="Y190" s="16">
        <f t="shared" si="32"/>
        <v>0</v>
      </c>
      <c r="Z190" s="20">
        <f t="shared" si="39"/>
        <v>0</v>
      </c>
      <c r="AA190" s="20">
        <f t="shared" si="40"/>
        <v>0</v>
      </c>
      <c r="AB190" s="20">
        <f>+IF(Resumen!$C$8="no",0,W190*((1+10%)^(0.0833333333333333)-1))</f>
        <v>0</v>
      </c>
    </row>
    <row r="191" spans="1:28" x14ac:dyDescent="0.35">
      <c r="A191">
        <f t="shared" si="41"/>
        <v>190</v>
      </c>
      <c r="B191" t="str">
        <f>+IF(A191&gt;Resumen!$C$40,"",A191)</f>
        <v/>
      </c>
      <c r="C191" s="1">
        <f>+IFERROR(HLOOKUP($B191,Resumen!$F$3:$AM$10,8,0),0)</f>
        <v>0</v>
      </c>
      <c r="D191" s="1">
        <f>+IFERROR(HLOOKUP($B191,Resumen!$F$3:$AM$12,10),0)</f>
        <v>0</v>
      </c>
      <c r="E191" s="1">
        <f>+IF(B191=Resumen!$C$38*6-6,1,0)</f>
        <v>0</v>
      </c>
      <c r="F191" s="1">
        <f>+IFERROR(HLOOKUP($B191,Resumen!$F$3:$AM$14,12),0)</f>
        <v>0</v>
      </c>
      <c r="G191" s="17">
        <f t="shared" si="45"/>
        <v>5.8207660913467407E-11</v>
      </c>
      <c r="H191" s="17">
        <f>IF(X191="",0,IF(F191=0,ROUND(SUM(J$2:J191)*X191,2),0))</f>
        <v>0</v>
      </c>
      <c r="I191" s="17">
        <f t="shared" si="31"/>
        <v>0</v>
      </c>
      <c r="J191" s="17">
        <f>(Resumen!$C$10*(1-Resumen!$C$24)*(1+Incmat)^5)*C191</f>
        <v>0</v>
      </c>
      <c r="K191" s="17">
        <f>+IF(F191=1,PMT(X191,(Resumen!$C$36+Resumen!$C$26+Resumen!$C$14*6-B191+1),-Amortizacion!G191),0)</f>
        <v>0</v>
      </c>
      <c r="L191" s="17">
        <f t="shared" si="33"/>
        <v>0</v>
      </c>
      <c r="M191" s="17">
        <f>+IF(Resumen!$C$20="no",H191,0)</f>
        <v>0</v>
      </c>
      <c r="N191" s="17">
        <f t="shared" si="34"/>
        <v>5.8207660913467407E-11</v>
      </c>
      <c r="O191" s="17">
        <f>+IF(AND(Resumen!$C$18="SI",Amortizacion!E191=1),SUM($H$2:J191)*25%,0)</f>
        <v>0</v>
      </c>
      <c r="P191" s="1">
        <f t="shared" si="42"/>
        <v>0</v>
      </c>
      <c r="Q191" s="17">
        <f t="shared" si="43"/>
        <v>0</v>
      </c>
      <c r="R191" s="17">
        <f t="shared" si="35"/>
        <v>0</v>
      </c>
      <c r="S191" s="17">
        <f>(Resumen!$C$10*(Resumen!$C$24)*(1+Incmat)^5)*$C191</f>
        <v>0</v>
      </c>
      <c r="T191" s="21">
        <f t="shared" si="36"/>
        <v>0</v>
      </c>
      <c r="U191" s="17">
        <f t="shared" si="37"/>
        <v>0</v>
      </c>
      <c r="V191" s="17">
        <f t="shared" si="38"/>
        <v>0</v>
      </c>
      <c r="W191" s="17">
        <f t="shared" si="44"/>
        <v>5.8207660913467407E-11</v>
      </c>
      <c r="X191" s="15" t="str">
        <f>+IF(B191="","",Resumen!$C$34)</f>
        <v/>
      </c>
      <c r="Y191" s="16">
        <f t="shared" si="32"/>
        <v>0</v>
      </c>
      <c r="Z191" s="20">
        <f t="shared" si="39"/>
        <v>0</v>
      </c>
      <c r="AA191" s="20">
        <f t="shared" si="40"/>
        <v>0</v>
      </c>
      <c r="AB191" s="20">
        <f>+IF(Resumen!$C$8="no",0,W191*((1+10%)^(0.0833333333333333)-1))</f>
        <v>0</v>
      </c>
    </row>
    <row r="192" spans="1:28" x14ac:dyDescent="0.35">
      <c r="A192">
        <f t="shared" si="41"/>
        <v>191</v>
      </c>
      <c r="B192" t="str">
        <f>+IF(A192&gt;Resumen!$C$40,"",A192)</f>
        <v/>
      </c>
      <c r="C192" s="1">
        <f>+IFERROR(HLOOKUP($B192,Resumen!$F$3:$AM$10,8,0),0)</f>
        <v>0</v>
      </c>
      <c r="D192" s="1">
        <f>+IFERROR(HLOOKUP($B192,Resumen!$F$3:$AM$12,10),0)</f>
        <v>0</v>
      </c>
      <c r="E192" s="1">
        <f>+IF(B192=Resumen!$C$38*6-6,1,0)</f>
        <v>0</v>
      </c>
      <c r="F192" s="1">
        <f>+IFERROR(HLOOKUP($B192,Resumen!$F$3:$AM$14,12),0)</f>
        <v>0</v>
      </c>
      <c r="G192" s="17">
        <f t="shared" si="45"/>
        <v>5.8207660913467407E-11</v>
      </c>
      <c r="H192" s="17">
        <f>IF(X192="",0,IF(F192=0,ROUND(SUM(J$2:J192)*X192,2),0))</f>
        <v>0</v>
      </c>
      <c r="I192" s="17">
        <f t="shared" si="31"/>
        <v>0</v>
      </c>
      <c r="J192" s="17">
        <f>(Resumen!$C$10*(1-Resumen!$C$24)*(1+Incmat)^5)*C192</f>
        <v>0</v>
      </c>
      <c r="K192" s="17">
        <f>+IF(F192=1,PMT(X192,(Resumen!$C$36+Resumen!$C$26+Resumen!$C$14*6-B192+1),-Amortizacion!G192),0)</f>
        <v>0</v>
      </c>
      <c r="L192" s="17">
        <f t="shared" si="33"/>
        <v>0</v>
      </c>
      <c r="M192" s="17">
        <f>+IF(Resumen!$C$20="no",H192,0)</f>
        <v>0</v>
      </c>
      <c r="N192" s="17">
        <f t="shared" si="34"/>
        <v>5.8207660913467407E-11</v>
      </c>
      <c r="O192" s="17">
        <f>+IF(AND(Resumen!$C$18="SI",Amortizacion!E192=1),SUM($H$2:J192)*25%,0)</f>
        <v>0</v>
      </c>
      <c r="P192" s="1">
        <f t="shared" si="42"/>
        <v>0</v>
      </c>
      <c r="Q192" s="17">
        <f t="shared" si="43"/>
        <v>0</v>
      </c>
      <c r="R192" s="17">
        <f t="shared" si="35"/>
        <v>0</v>
      </c>
      <c r="S192" s="17">
        <f>(Resumen!$C$10*(Resumen!$C$24)*(1+Incmat)^5)*$C192</f>
        <v>0</v>
      </c>
      <c r="T192" s="21">
        <f t="shared" si="36"/>
        <v>0</v>
      </c>
      <c r="U192" s="17">
        <f t="shared" si="37"/>
        <v>0</v>
      </c>
      <c r="V192" s="17">
        <f t="shared" si="38"/>
        <v>0</v>
      </c>
      <c r="W192" s="17">
        <f t="shared" si="44"/>
        <v>5.8207660913467407E-11</v>
      </c>
      <c r="X192" s="15" t="str">
        <f>+IF(B192="","",Resumen!$C$34)</f>
        <v/>
      </c>
      <c r="Y192" s="16">
        <f t="shared" si="32"/>
        <v>0</v>
      </c>
      <c r="Z192" s="20">
        <f t="shared" si="39"/>
        <v>0</v>
      </c>
      <c r="AA192" s="20">
        <f t="shared" si="40"/>
        <v>0</v>
      </c>
      <c r="AB192" s="20">
        <f>+IF(Resumen!$C$8="no",0,W192*((1+10%)^(0.0833333333333333)-1))</f>
        <v>0</v>
      </c>
    </row>
    <row r="193" spans="1:28" x14ac:dyDescent="0.35">
      <c r="A193">
        <f t="shared" si="41"/>
        <v>192</v>
      </c>
      <c r="B193" t="str">
        <f>+IF(A193&gt;Resumen!$C$40,"",A193)</f>
        <v/>
      </c>
      <c r="C193" s="1">
        <f>+IFERROR(HLOOKUP($B193,Resumen!$F$3:$AM$10,8,0),0)</f>
        <v>0</v>
      </c>
      <c r="D193" s="1">
        <f>+IFERROR(HLOOKUP($B193,Resumen!$F$3:$AM$12,10),0)</f>
        <v>0</v>
      </c>
      <c r="E193" s="1">
        <f>+IF(B193=Resumen!$C$38*6-6,1,0)</f>
        <v>0</v>
      </c>
      <c r="F193" s="1">
        <f>+IFERROR(HLOOKUP($B193,Resumen!$F$3:$AM$14,12),0)</f>
        <v>0</v>
      </c>
      <c r="G193" s="17">
        <f t="shared" si="45"/>
        <v>5.8207660913467407E-11</v>
      </c>
      <c r="H193" s="17">
        <f>IF(X193="",0,IF(F193=0,ROUND(SUM(J$2:J193)*X193,2),0))</f>
        <v>0</v>
      </c>
      <c r="I193" s="17">
        <f t="shared" si="31"/>
        <v>0</v>
      </c>
      <c r="J193" s="17">
        <f>(Resumen!$C$10*(1-Resumen!$C$24)*(1+Incmat)^5)*C193</f>
        <v>0</v>
      </c>
      <c r="K193" s="17">
        <f>+IF(F193=1,PMT(X193,(Resumen!$C$36+Resumen!$C$26+Resumen!$C$14*6-B193+1),-Amortizacion!G193),0)</f>
        <v>0</v>
      </c>
      <c r="L193" s="17">
        <f t="shared" si="33"/>
        <v>0</v>
      </c>
      <c r="M193" s="17">
        <f>+IF(Resumen!$C$20="no",H193,0)</f>
        <v>0</v>
      </c>
      <c r="N193" s="17">
        <f t="shared" si="34"/>
        <v>5.8207660913467407E-11</v>
      </c>
      <c r="O193" s="17">
        <f>+IF(AND(Resumen!$C$18="SI",Amortizacion!E193=1),SUM($H$2:J193)*25%,0)</f>
        <v>0</v>
      </c>
      <c r="P193" s="1">
        <f t="shared" si="42"/>
        <v>0</v>
      </c>
      <c r="Q193" s="17">
        <f t="shared" si="43"/>
        <v>0</v>
      </c>
      <c r="R193" s="17">
        <f t="shared" si="35"/>
        <v>0</v>
      </c>
      <c r="S193" s="17">
        <f>(Resumen!$C$10*(Resumen!$C$24)*(1+Incmat)^5)*$C193</f>
        <v>0</v>
      </c>
      <c r="T193" s="21">
        <f t="shared" si="36"/>
        <v>0</v>
      </c>
      <c r="U193" s="17">
        <f t="shared" si="37"/>
        <v>0</v>
      </c>
      <c r="V193" s="17">
        <f t="shared" si="38"/>
        <v>0</v>
      </c>
      <c r="W193" s="17">
        <f t="shared" si="44"/>
        <v>5.8207660913467407E-11</v>
      </c>
      <c r="X193" s="15" t="str">
        <f>+IF(B193="","",Resumen!$C$34)</f>
        <v/>
      </c>
      <c r="Y193" s="16">
        <f t="shared" si="32"/>
        <v>0</v>
      </c>
      <c r="Z193" s="20">
        <f t="shared" si="39"/>
        <v>0</v>
      </c>
      <c r="AA193" s="20">
        <f t="shared" si="40"/>
        <v>0</v>
      </c>
      <c r="AB193" s="20">
        <f>+IF(Resumen!$C$8="no",0,W193*((1+10%)^(0.0833333333333333)-1))</f>
        <v>0</v>
      </c>
    </row>
    <row r="194" spans="1:28" x14ac:dyDescent="0.35">
      <c r="A194">
        <f t="shared" si="41"/>
        <v>193</v>
      </c>
      <c r="B194" t="str">
        <f>+IF(A194&gt;Resumen!$C$40,"",A194)</f>
        <v/>
      </c>
      <c r="C194" s="1">
        <f>+IFERROR(HLOOKUP($B194,Resumen!$F$3:$AM$10,8,0),0)</f>
        <v>0</v>
      </c>
      <c r="D194" s="1">
        <f>+IFERROR(HLOOKUP($B194,Resumen!$F$3:$AM$12,10),0)</f>
        <v>0</v>
      </c>
      <c r="E194" s="1">
        <f>+IF(B194=Resumen!$C$38*6-6,1,0)</f>
        <v>0</v>
      </c>
      <c r="F194" s="1">
        <f>+IFERROR(HLOOKUP($B194,Resumen!$F$3:$AM$14,12),0)</f>
        <v>0</v>
      </c>
      <c r="G194" s="17">
        <f t="shared" si="45"/>
        <v>5.8207660913467407E-11</v>
      </c>
      <c r="H194" s="17">
        <f>IF(X194="",0,IF(F194=0,ROUND(SUM(J$2:J194)*X194,2),0))</f>
        <v>0</v>
      </c>
      <c r="I194" s="17">
        <f t="shared" ref="I194:I230" si="46">+IF(X194="",0,IF(F194=1,G194*X194,0))</f>
        <v>0</v>
      </c>
      <c r="J194" s="17">
        <f>(Resumen!$C$10*(1-Resumen!$C$24)*(1+Incmat)^5)*C194</f>
        <v>0</v>
      </c>
      <c r="K194" s="17">
        <f>+IF(F194=1,PMT(X194,(Resumen!$C$36+Resumen!$C$26+Resumen!$C$14*6-B194+1),-Amortizacion!G194),0)</f>
        <v>0</v>
      </c>
      <c r="L194" s="17">
        <f t="shared" si="33"/>
        <v>0</v>
      </c>
      <c r="M194" s="17">
        <f>+IF(Resumen!$C$20="no",H194,0)</f>
        <v>0</v>
      </c>
      <c r="N194" s="17">
        <f t="shared" si="34"/>
        <v>5.8207660913467407E-11</v>
      </c>
      <c r="O194" s="17">
        <f>+IF(AND(Resumen!$C$18="SI",Amortizacion!E194=1),SUM($H$2:J194)*25%,0)</f>
        <v>0</v>
      </c>
      <c r="P194" s="1">
        <f t="shared" si="42"/>
        <v>0</v>
      </c>
      <c r="Q194" s="17">
        <f t="shared" si="43"/>
        <v>0</v>
      </c>
      <c r="R194" s="17">
        <f t="shared" si="35"/>
        <v>0</v>
      </c>
      <c r="S194" s="17">
        <f>(Resumen!$C$10*(Resumen!$C$24)*(1+Incmat)^5)*$C194</f>
        <v>0</v>
      </c>
      <c r="T194" s="21">
        <f t="shared" si="36"/>
        <v>0</v>
      </c>
      <c r="U194" s="17">
        <f t="shared" si="37"/>
        <v>0</v>
      </c>
      <c r="V194" s="17">
        <f t="shared" si="38"/>
        <v>0</v>
      </c>
      <c r="W194" s="17">
        <f t="shared" si="44"/>
        <v>5.8207660913467407E-11</v>
      </c>
      <c r="X194" s="15" t="str">
        <f>+IF(B194="","",Resumen!$C$34)</f>
        <v/>
      </c>
      <c r="Y194" s="16">
        <f t="shared" ref="Y194:Y230" si="47">+J194+S194</f>
        <v>0</v>
      </c>
      <c r="Z194" s="20">
        <f t="shared" si="39"/>
        <v>0</v>
      </c>
      <c r="AA194" s="20">
        <f t="shared" si="40"/>
        <v>0</v>
      </c>
      <c r="AB194" s="20">
        <f>+IF(Resumen!$C$8="no",0,W194*((1+10%)^(0.0833333333333333)-1))</f>
        <v>0</v>
      </c>
    </row>
    <row r="195" spans="1:28" x14ac:dyDescent="0.35">
      <c r="A195">
        <f t="shared" si="41"/>
        <v>194</v>
      </c>
      <c r="B195" t="str">
        <f>+IF(A195&gt;Resumen!$C$40,"",A195)</f>
        <v/>
      </c>
      <c r="C195" s="1">
        <f>+IFERROR(HLOOKUP($B195,Resumen!$F$3:$AM$10,8,0),0)</f>
        <v>0</v>
      </c>
      <c r="D195" s="1">
        <f>+IFERROR(HLOOKUP($B195,Resumen!$F$3:$AM$12,10),0)</f>
        <v>0</v>
      </c>
      <c r="E195" s="1">
        <f>+IF(B195=Resumen!$C$38*6-6,1,0)</f>
        <v>0</v>
      </c>
      <c r="F195" s="1">
        <f>+IFERROR(HLOOKUP($B195,Resumen!$F$3:$AM$14,12),0)</f>
        <v>0</v>
      </c>
      <c r="G195" s="17">
        <f t="shared" si="45"/>
        <v>5.8207660913467407E-11</v>
      </c>
      <c r="H195" s="17">
        <f>IF(X195="",0,IF(F195=0,ROUND(SUM(J$2:J195)*X195,2),0))</f>
        <v>0</v>
      </c>
      <c r="I195" s="17">
        <f t="shared" si="46"/>
        <v>0</v>
      </c>
      <c r="J195" s="17">
        <f>(Resumen!$C$10*(1-Resumen!$C$24)*(1+Incmat)^5)*C195</f>
        <v>0</v>
      </c>
      <c r="K195" s="17">
        <f>+IF(F195=1,PMT(X195,(Resumen!$C$36+Resumen!$C$26+Resumen!$C$14*6-B195+1),-Amortizacion!G195),0)</f>
        <v>0</v>
      </c>
      <c r="L195" s="17">
        <f t="shared" ref="L195:L230" si="48">+IF(I195="","",K195-I195)</f>
        <v>0</v>
      </c>
      <c r="M195" s="17">
        <f>+IF(Resumen!$C$20="no",H195,0)</f>
        <v>0</v>
      </c>
      <c r="N195" s="17">
        <f t="shared" ref="N195:N230" si="49">+IF(F195=0,SUM(G195:K195)-M195,G195-L195)</f>
        <v>5.8207660913467407E-11</v>
      </c>
      <c r="O195" s="17">
        <f>+IF(AND(Resumen!$C$18="SI",Amortizacion!E195=1),SUM($H$2:J195)*25%,0)</f>
        <v>0</v>
      </c>
      <c r="P195" s="1">
        <f t="shared" si="42"/>
        <v>0</v>
      </c>
      <c r="Q195" s="17">
        <f t="shared" si="43"/>
        <v>0</v>
      </c>
      <c r="R195" s="17">
        <f t="shared" ref="R195:R230" si="50">+IF(X195="",0,Q195*X195)</f>
        <v>0</v>
      </c>
      <c r="S195" s="17">
        <f>(Resumen!$C$10*(Resumen!$C$24)*(1+Incmat)^5)*$C195</f>
        <v>0</v>
      </c>
      <c r="T195" s="21">
        <f t="shared" ref="T195:T230" si="51">+IF(X195="",0,IFERROR(PMT(X195,P195,-Q195),0))</f>
        <v>0</v>
      </c>
      <c r="U195" s="17">
        <f t="shared" ref="U195:U230" si="52">+IFERROR(T195-R195,0)</f>
        <v>0</v>
      </c>
      <c r="V195" s="17">
        <f t="shared" ref="V195:V230" si="53">+Q195-U195</f>
        <v>0</v>
      </c>
      <c r="W195" s="17">
        <f t="shared" si="44"/>
        <v>5.8207660913467407E-11</v>
      </c>
      <c r="X195" s="15" t="str">
        <f>+IF(B195="","",Resumen!$C$34)</f>
        <v/>
      </c>
      <c r="Y195" s="16">
        <f t="shared" si="47"/>
        <v>0</v>
      </c>
      <c r="Z195" s="20">
        <f t="shared" ref="Z195:Z230" si="54">+T195+K195+M195</f>
        <v>0</v>
      </c>
      <c r="AA195" s="20">
        <f t="shared" ref="AA195:AA230" si="55">+R195+M195+I195</f>
        <v>0</v>
      </c>
      <c r="AB195" s="20">
        <f>+IF(Resumen!$C$8="no",0,W195*((1+10%)^(0.0833333333333333)-1))</f>
        <v>0</v>
      </c>
    </row>
    <row r="196" spans="1:28" x14ac:dyDescent="0.35">
      <c r="A196">
        <f t="shared" ref="A196:A206" si="56">+A195+1</f>
        <v>195</v>
      </c>
      <c r="B196" t="str">
        <f>+IF(A196&gt;Resumen!$C$40,"",A196)</f>
        <v/>
      </c>
      <c r="C196" s="1">
        <f>+IFERROR(HLOOKUP($B196,Resumen!$F$3:$AM$10,8,0),0)</f>
        <v>0</v>
      </c>
      <c r="D196" s="1">
        <f>+IFERROR(HLOOKUP($B196,Resumen!$F$3:$AM$12,10),0)</f>
        <v>0</v>
      </c>
      <c r="E196" s="1">
        <f>+IF(B196=Resumen!$C$38*6-6,1,0)</f>
        <v>0</v>
      </c>
      <c r="F196" s="1">
        <f>+IFERROR(HLOOKUP($B196,Resumen!$F$3:$AM$14,12),0)</f>
        <v>0</v>
      </c>
      <c r="G196" s="17">
        <f t="shared" si="45"/>
        <v>5.8207660913467407E-11</v>
      </c>
      <c r="H196" s="17">
        <f>IF(X196="",0,IF(F196=0,ROUND(SUM(J$2:J196)*X196,2),0))</f>
        <v>0</v>
      </c>
      <c r="I196" s="17">
        <f t="shared" si="46"/>
        <v>0</v>
      </c>
      <c r="J196" s="17">
        <f>(Resumen!$C$10*(1-Resumen!$C$24)*(1+Incmat)^5)*C196</f>
        <v>0</v>
      </c>
      <c r="K196" s="17">
        <f>+IF(F196=1,PMT(X196,(Resumen!$C$36+Resumen!$C$26+Resumen!$C$14*6-B196+1),-Amortizacion!G196),0)</f>
        <v>0</v>
      </c>
      <c r="L196" s="17">
        <f t="shared" si="48"/>
        <v>0</v>
      </c>
      <c r="M196" s="17">
        <f>+IF(Resumen!$C$20="no",H196,0)</f>
        <v>0</v>
      </c>
      <c r="N196" s="17">
        <f t="shared" si="49"/>
        <v>5.8207660913467407E-11</v>
      </c>
      <c r="O196" s="17">
        <f>+IF(AND(Resumen!$C$18="SI",Amortizacion!E196=1),SUM($H$2:J196)*25%,0)</f>
        <v>0</v>
      </c>
      <c r="P196" s="1">
        <f t="shared" ref="P196:P230" si="57">+IF(S196&lt;&gt;0,6,IF(P195=0,0,P195-1))</f>
        <v>0</v>
      </c>
      <c r="Q196" s="17">
        <f t="shared" ref="Q196:Q230" si="58">+V195+S196</f>
        <v>0</v>
      </c>
      <c r="R196" s="17">
        <f t="shared" si="50"/>
        <v>0</v>
      </c>
      <c r="S196" s="17">
        <f>(Resumen!$C$10*(Resumen!$C$24)*(1+Incmat)^5)*$C196</f>
        <v>0</v>
      </c>
      <c r="T196" s="21">
        <f t="shared" si="51"/>
        <v>0</v>
      </c>
      <c r="U196" s="17">
        <f t="shared" si="52"/>
        <v>0</v>
      </c>
      <c r="V196" s="17">
        <f t="shared" si="53"/>
        <v>0</v>
      </c>
      <c r="W196" s="17">
        <f t="shared" ref="W196:W230" si="59">+N196+V196</f>
        <v>5.8207660913467407E-11</v>
      </c>
      <c r="X196" s="15" t="str">
        <f>+IF(B196="","",Resumen!$C$34)</f>
        <v/>
      </c>
      <c r="Y196" s="16">
        <f t="shared" si="47"/>
        <v>0</v>
      </c>
      <c r="Z196" s="20">
        <f t="shared" si="54"/>
        <v>0</v>
      </c>
      <c r="AA196" s="20">
        <f t="shared" si="55"/>
        <v>0</v>
      </c>
      <c r="AB196" s="20">
        <f>+IF(Resumen!$C$8="no",0,W196*((1+10%)^(0.0833333333333333)-1))</f>
        <v>0</v>
      </c>
    </row>
    <row r="197" spans="1:28" x14ac:dyDescent="0.35">
      <c r="A197">
        <f t="shared" si="56"/>
        <v>196</v>
      </c>
      <c r="B197" t="str">
        <f>+IF(A197&gt;Resumen!$C$40,"",A197)</f>
        <v/>
      </c>
      <c r="C197" s="1">
        <f>+IFERROR(HLOOKUP($B197,Resumen!$F$3:$AM$10,8,0),0)</f>
        <v>0</v>
      </c>
      <c r="D197" s="1">
        <f>+IFERROR(HLOOKUP($B197,Resumen!$F$3:$AM$12,10),0)</f>
        <v>0</v>
      </c>
      <c r="E197" s="1">
        <f>+IF(B197=Resumen!$C$38*6-6,1,0)</f>
        <v>0</v>
      </c>
      <c r="F197" s="1">
        <f>+IFERROR(HLOOKUP($B197,Resumen!$F$3:$AM$14,12),0)</f>
        <v>0</v>
      </c>
      <c r="G197" s="17">
        <f t="shared" si="45"/>
        <v>5.8207660913467407E-11</v>
      </c>
      <c r="H197" s="17">
        <f>IF(X197="",0,IF(F197=0,ROUND(SUM(J$2:J197)*X197,2),0))</f>
        <v>0</v>
      </c>
      <c r="I197" s="17">
        <f t="shared" si="46"/>
        <v>0</v>
      </c>
      <c r="J197" s="17">
        <f>(Resumen!$C$10*(1-Resumen!$C$24)*(1+Incmat)^5)*C197</f>
        <v>0</v>
      </c>
      <c r="K197" s="17">
        <f>+IF(F197=1,PMT(X197,(Resumen!$C$36+Resumen!$C$26+Resumen!$C$14*6-B197+1),-Amortizacion!G197),0)</f>
        <v>0</v>
      </c>
      <c r="L197" s="17">
        <f t="shared" si="48"/>
        <v>0</v>
      </c>
      <c r="M197" s="17">
        <f>+IF(Resumen!$C$20="no",H197,0)</f>
        <v>0</v>
      </c>
      <c r="N197" s="17">
        <f t="shared" si="49"/>
        <v>5.8207660913467407E-11</v>
      </c>
      <c r="O197" s="17">
        <f>+IF(AND(Resumen!$C$18="SI",Amortizacion!E197=1),SUM($H$2:J197)*25%,0)</f>
        <v>0</v>
      </c>
      <c r="P197" s="1">
        <f t="shared" si="57"/>
        <v>0</v>
      </c>
      <c r="Q197" s="17">
        <f t="shared" si="58"/>
        <v>0</v>
      </c>
      <c r="R197" s="17">
        <f t="shared" si="50"/>
        <v>0</v>
      </c>
      <c r="S197" s="17">
        <f>(Resumen!$C$10*(Resumen!$C$24)*(1+Incmat)^5)*$C197</f>
        <v>0</v>
      </c>
      <c r="T197" s="21">
        <f t="shared" si="51"/>
        <v>0</v>
      </c>
      <c r="U197" s="17">
        <f t="shared" si="52"/>
        <v>0</v>
      </c>
      <c r="V197" s="17">
        <f t="shared" si="53"/>
        <v>0</v>
      </c>
      <c r="W197" s="17">
        <f t="shared" si="59"/>
        <v>5.8207660913467407E-11</v>
      </c>
      <c r="X197" s="15" t="str">
        <f>+IF(B197="","",Resumen!$C$34)</f>
        <v/>
      </c>
      <c r="Y197" s="16">
        <f t="shared" si="47"/>
        <v>0</v>
      </c>
      <c r="Z197" s="20">
        <f t="shared" si="54"/>
        <v>0</v>
      </c>
      <c r="AA197" s="20">
        <f t="shared" si="55"/>
        <v>0</v>
      </c>
      <c r="AB197" s="20">
        <f>+IF(Resumen!$C$8="no",0,W197*((1+10%)^(0.0833333333333333)-1))</f>
        <v>0</v>
      </c>
    </row>
    <row r="198" spans="1:28" x14ac:dyDescent="0.35">
      <c r="A198">
        <f t="shared" si="56"/>
        <v>197</v>
      </c>
      <c r="B198" t="str">
        <f>+IF(A198&gt;Resumen!$C$40,"",A198)</f>
        <v/>
      </c>
      <c r="C198" s="1">
        <f>+IFERROR(HLOOKUP($B198,Resumen!$F$3:$AM$10,8,0),0)</f>
        <v>0</v>
      </c>
      <c r="D198" s="1">
        <f>+IFERROR(HLOOKUP($B198,Resumen!$F$3:$AM$12,10),0)</f>
        <v>0</v>
      </c>
      <c r="E198" s="1">
        <f>+IF(B198=Resumen!$C$38*6-6,1,0)</f>
        <v>0</v>
      </c>
      <c r="F198" s="1">
        <f>+IFERROR(HLOOKUP($B198,Resumen!$F$3:$AM$14,12),0)</f>
        <v>0</v>
      </c>
      <c r="G198" s="17">
        <f t="shared" si="45"/>
        <v>5.8207660913467407E-11</v>
      </c>
      <c r="H198" s="17">
        <f>IF(X198="",0,IF(F198=0,ROUND(SUM(J$2:J198)*X198,2),0))</f>
        <v>0</v>
      </c>
      <c r="I198" s="17">
        <f t="shared" si="46"/>
        <v>0</v>
      </c>
      <c r="J198" s="17">
        <f>(Resumen!$C$10*(1-Resumen!$C$24)*(1+Incmat)^5)*C198</f>
        <v>0</v>
      </c>
      <c r="K198" s="17">
        <f>+IF(F198=1,PMT(X198,(Resumen!$C$36+Resumen!$C$26+Resumen!$C$14*6-B198+1),-Amortizacion!G198),0)</f>
        <v>0</v>
      </c>
      <c r="L198" s="17">
        <f t="shared" si="48"/>
        <v>0</v>
      </c>
      <c r="M198" s="17">
        <f>+IF(Resumen!$C$20="no",H198,0)</f>
        <v>0</v>
      </c>
      <c r="N198" s="17">
        <f t="shared" si="49"/>
        <v>5.8207660913467407E-11</v>
      </c>
      <c r="O198" s="17">
        <f>+IF(AND(Resumen!$C$18="SI",Amortizacion!E198=1),SUM($H$2:J198)*25%,0)</f>
        <v>0</v>
      </c>
      <c r="P198" s="1">
        <f t="shared" si="57"/>
        <v>0</v>
      </c>
      <c r="Q198" s="17">
        <f t="shared" si="58"/>
        <v>0</v>
      </c>
      <c r="R198" s="17">
        <f t="shared" si="50"/>
        <v>0</v>
      </c>
      <c r="S198" s="17">
        <f>(Resumen!$C$10*(Resumen!$C$24)*(1+Incmat)^5)*$C198</f>
        <v>0</v>
      </c>
      <c r="T198" s="21">
        <f t="shared" si="51"/>
        <v>0</v>
      </c>
      <c r="U198" s="17">
        <f t="shared" si="52"/>
        <v>0</v>
      </c>
      <c r="V198" s="17">
        <f t="shared" si="53"/>
        <v>0</v>
      </c>
      <c r="W198" s="17">
        <f t="shared" si="59"/>
        <v>5.8207660913467407E-11</v>
      </c>
      <c r="X198" s="15" t="str">
        <f>+IF(B198="","",Resumen!$C$34)</f>
        <v/>
      </c>
      <c r="Y198" s="16">
        <f t="shared" si="47"/>
        <v>0</v>
      </c>
      <c r="Z198" s="20">
        <f t="shared" si="54"/>
        <v>0</v>
      </c>
      <c r="AA198" s="20">
        <f t="shared" si="55"/>
        <v>0</v>
      </c>
      <c r="AB198" s="20">
        <f>+IF(Resumen!$C$8="no",0,W198*((1+10%)^(0.0833333333333333)-1))</f>
        <v>0</v>
      </c>
    </row>
    <row r="199" spans="1:28" x14ac:dyDescent="0.35">
      <c r="A199">
        <f t="shared" si="56"/>
        <v>198</v>
      </c>
      <c r="B199" t="str">
        <f>+IF(A199&gt;Resumen!$C$40,"",A199)</f>
        <v/>
      </c>
      <c r="C199" s="1">
        <f>+IFERROR(HLOOKUP($B199,Resumen!$F$3:$AM$10,8,0),0)</f>
        <v>0</v>
      </c>
      <c r="D199" s="1">
        <f>+IFERROR(HLOOKUP($B199,Resumen!$F$3:$AM$12,10),0)</f>
        <v>0</v>
      </c>
      <c r="E199" s="1">
        <f>+IF(B199=Resumen!$C$38*6-6,1,0)</f>
        <v>0</v>
      </c>
      <c r="F199" s="1">
        <f>+IFERROR(HLOOKUP($B199,Resumen!$F$3:$AM$14,12),0)</f>
        <v>0</v>
      </c>
      <c r="G199" s="17">
        <f t="shared" si="45"/>
        <v>5.8207660913467407E-11</v>
      </c>
      <c r="H199" s="17">
        <f>IF(X199="",0,IF(F199=0,ROUND(SUM(J$2:J199)*X199,2),0))</f>
        <v>0</v>
      </c>
      <c r="I199" s="17">
        <f t="shared" si="46"/>
        <v>0</v>
      </c>
      <c r="J199" s="17">
        <f>(Resumen!$C$10*(1-Resumen!$C$24)*(1+Incmat)^5)*C199</f>
        <v>0</v>
      </c>
      <c r="K199" s="17">
        <f>+IF(F199=1,PMT(X199,(Resumen!$C$36+Resumen!$C$26+Resumen!$C$14*6-B199+1),-Amortizacion!G199),0)</f>
        <v>0</v>
      </c>
      <c r="L199" s="17">
        <f t="shared" si="48"/>
        <v>0</v>
      </c>
      <c r="M199" s="17">
        <f>+IF(Resumen!$C$20="no",H199,0)</f>
        <v>0</v>
      </c>
      <c r="N199" s="17">
        <f t="shared" si="49"/>
        <v>5.8207660913467407E-11</v>
      </c>
      <c r="O199" s="17">
        <f>+IF(AND(Resumen!$C$18="SI",Amortizacion!E199=1),SUM($H$2:J199)*25%,0)</f>
        <v>0</v>
      </c>
      <c r="P199" s="1">
        <f t="shared" si="57"/>
        <v>0</v>
      </c>
      <c r="Q199" s="17">
        <f t="shared" si="58"/>
        <v>0</v>
      </c>
      <c r="R199" s="17">
        <f t="shared" si="50"/>
        <v>0</v>
      </c>
      <c r="S199" s="17">
        <f>(Resumen!$C$10*(Resumen!$C$24)*(1+Incmat)^5)*$C199</f>
        <v>0</v>
      </c>
      <c r="T199" s="21">
        <f t="shared" si="51"/>
        <v>0</v>
      </c>
      <c r="U199" s="17">
        <f t="shared" si="52"/>
        <v>0</v>
      </c>
      <c r="V199" s="17">
        <f t="shared" si="53"/>
        <v>0</v>
      </c>
      <c r="W199" s="17">
        <f t="shared" si="59"/>
        <v>5.8207660913467407E-11</v>
      </c>
      <c r="X199" s="15" t="str">
        <f>+IF(B199="","",Resumen!$C$34)</f>
        <v/>
      </c>
      <c r="Y199" s="16">
        <f t="shared" si="47"/>
        <v>0</v>
      </c>
      <c r="Z199" s="20">
        <f t="shared" si="54"/>
        <v>0</v>
      </c>
      <c r="AA199" s="20">
        <f t="shared" si="55"/>
        <v>0</v>
      </c>
      <c r="AB199" s="20">
        <f>+IF(Resumen!$C$8="no",0,W199*((1+10%)^(0.0833333333333333)-1))</f>
        <v>0</v>
      </c>
    </row>
    <row r="200" spans="1:28" x14ac:dyDescent="0.35">
      <c r="A200">
        <f t="shared" si="56"/>
        <v>199</v>
      </c>
      <c r="B200" t="str">
        <f>+IF(A200&gt;Resumen!$C$40,"",A200)</f>
        <v/>
      </c>
      <c r="C200" s="1">
        <f>+IFERROR(HLOOKUP($B200,Resumen!$F$3:$AM$10,8,0),0)</f>
        <v>0</v>
      </c>
      <c r="D200" s="1">
        <f>+IFERROR(HLOOKUP($B200,Resumen!$F$3:$AM$12,10),0)</f>
        <v>0</v>
      </c>
      <c r="E200" s="1">
        <f>+IF(B200=Resumen!$C$38*6-6,1,0)</f>
        <v>0</v>
      </c>
      <c r="F200" s="1">
        <f>+IFERROR(HLOOKUP($B200,Resumen!$F$3:$AM$14,12),0)</f>
        <v>0</v>
      </c>
      <c r="G200" s="17">
        <f t="shared" si="45"/>
        <v>5.8207660913467407E-11</v>
      </c>
      <c r="H200" s="17">
        <f>IF(X200="",0,IF(F200=0,ROUND(SUM(J$2:J200)*X200,2),0))</f>
        <v>0</v>
      </c>
      <c r="I200" s="17">
        <f t="shared" si="46"/>
        <v>0</v>
      </c>
      <c r="J200" s="17">
        <f>(Resumen!$C$10*(1-Resumen!$C$24)*(1+Incmat)^5)*C200</f>
        <v>0</v>
      </c>
      <c r="K200" s="17">
        <f>+IF(F200=1,PMT(X200,(Resumen!$C$36+Resumen!$C$26+Resumen!$C$14*6-B200+1),-Amortizacion!G200),0)</f>
        <v>0</v>
      </c>
      <c r="L200" s="17">
        <f t="shared" si="48"/>
        <v>0</v>
      </c>
      <c r="M200" s="17">
        <f>+IF(Resumen!$C$20="no",H200,0)</f>
        <v>0</v>
      </c>
      <c r="N200" s="17">
        <f t="shared" si="49"/>
        <v>5.8207660913467407E-11</v>
      </c>
      <c r="O200" s="17">
        <f>+IF(AND(Resumen!$C$18="SI",Amortizacion!E200=1),SUM($H$2:J200)*25%,0)</f>
        <v>0</v>
      </c>
      <c r="P200" s="1">
        <f t="shared" si="57"/>
        <v>0</v>
      </c>
      <c r="Q200" s="17">
        <f t="shared" si="58"/>
        <v>0</v>
      </c>
      <c r="R200" s="17">
        <f t="shared" si="50"/>
        <v>0</v>
      </c>
      <c r="S200" s="17">
        <f>(Resumen!$C$10*(Resumen!$C$24)*(1+Incmat)^5)*$C200</f>
        <v>0</v>
      </c>
      <c r="T200" s="21">
        <f t="shared" si="51"/>
        <v>0</v>
      </c>
      <c r="U200" s="17">
        <f t="shared" si="52"/>
        <v>0</v>
      </c>
      <c r="V200" s="17">
        <f t="shared" si="53"/>
        <v>0</v>
      </c>
      <c r="W200" s="17">
        <f t="shared" si="59"/>
        <v>5.8207660913467407E-11</v>
      </c>
      <c r="X200" s="15" t="str">
        <f>+IF(B200="","",Resumen!$C$34)</f>
        <v/>
      </c>
      <c r="Y200" s="16">
        <f t="shared" si="47"/>
        <v>0</v>
      </c>
      <c r="Z200" s="20">
        <f t="shared" si="54"/>
        <v>0</v>
      </c>
      <c r="AA200" s="20">
        <f t="shared" si="55"/>
        <v>0</v>
      </c>
      <c r="AB200" s="20">
        <f>+IF(Resumen!$C$8="no",0,W200*((1+10%)^(0.0833333333333333)-1))</f>
        <v>0</v>
      </c>
    </row>
    <row r="201" spans="1:28" x14ac:dyDescent="0.35">
      <c r="A201">
        <f t="shared" si="56"/>
        <v>200</v>
      </c>
      <c r="B201" t="str">
        <f>+IF(A201&gt;Resumen!$C$40,"",A201)</f>
        <v/>
      </c>
      <c r="C201" s="1">
        <f>+IFERROR(HLOOKUP($B201,Resumen!$F$3:$AM$10,8,0),0)</f>
        <v>0</v>
      </c>
      <c r="D201" s="1">
        <f>+IFERROR(HLOOKUP($B201,Resumen!$F$3:$AM$12,10),0)</f>
        <v>0</v>
      </c>
      <c r="E201" s="1">
        <f>+IF(B201=Resumen!$C$38*6-6,1,0)</f>
        <v>0</v>
      </c>
      <c r="F201" s="1">
        <f>+IFERROR(HLOOKUP($B201,Resumen!$F$3:$AM$14,12),0)</f>
        <v>0</v>
      </c>
      <c r="G201" s="17">
        <f t="shared" si="45"/>
        <v>5.8207660913467407E-11</v>
      </c>
      <c r="H201" s="17">
        <f>IF(X201="",0,IF(F201=0,ROUND(SUM(J$2:J201)*X201,2),0))</f>
        <v>0</v>
      </c>
      <c r="I201" s="17">
        <f t="shared" si="46"/>
        <v>0</v>
      </c>
      <c r="J201" s="17">
        <f>(Resumen!$C$10*(1-Resumen!$C$24)*(1+Incmat)^5)*C201</f>
        <v>0</v>
      </c>
      <c r="K201" s="17">
        <f>+IF(F201=1,PMT(X201,(Resumen!$C$36+Resumen!$C$26+Resumen!$C$14*6-B201+1),-Amortizacion!G201),0)</f>
        <v>0</v>
      </c>
      <c r="L201" s="17">
        <f t="shared" si="48"/>
        <v>0</v>
      </c>
      <c r="M201" s="17">
        <f>+IF(Resumen!$C$20="no",H201,0)</f>
        <v>0</v>
      </c>
      <c r="N201" s="17">
        <f t="shared" si="49"/>
        <v>5.8207660913467407E-11</v>
      </c>
      <c r="O201" s="17">
        <f>+IF(AND(Resumen!$C$18="SI",Amortizacion!E201=1),SUM($H$2:J201)*25%,0)</f>
        <v>0</v>
      </c>
      <c r="P201" s="1">
        <f t="shared" si="57"/>
        <v>0</v>
      </c>
      <c r="Q201" s="17">
        <f t="shared" si="58"/>
        <v>0</v>
      </c>
      <c r="R201" s="17">
        <f t="shared" si="50"/>
        <v>0</v>
      </c>
      <c r="S201" s="17">
        <f>(Resumen!$C$10*(Resumen!$C$24)*(1+Incmat)^5)*$C201</f>
        <v>0</v>
      </c>
      <c r="T201" s="21">
        <f t="shared" si="51"/>
        <v>0</v>
      </c>
      <c r="U201" s="17">
        <f t="shared" si="52"/>
        <v>0</v>
      </c>
      <c r="V201" s="17">
        <f t="shared" si="53"/>
        <v>0</v>
      </c>
      <c r="W201" s="17">
        <f t="shared" si="59"/>
        <v>5.8207660913467407E-11</v>
      </c>
      <c r="X201" s="15" t="str">
        <f>+IF(B201="","",Resumen!$C$34)</f>
        <v/>
      </c>
      <c r="Y201" s="16">
        <f t="shared" si="47"/>
        <v>0</v>
      </c>
      <c r="Z201" s="20">
        <f t="shared" si="54"/>
        <v>0</v>
      </c>
      <c r="AA201" s="20">
        <f t="shared" si="55"/>
        <v>0</v>
      </c>
      <c r="AB201" s="20">
        <f>+IF(Resumen!$C$8="no",0,W201*((1+10%)^(0.0833333333333333)-1))</f>
        <v>0</v>
      </c>
    </row>
    <row r="202" spans="1:28" x14ac:dyDescent="0.35">
      <c r="A202">
        <f t="shared" si="56"/>
        <v>201</v>
      </c>
      <c r="B202" t="str">
        <f>+IF(A202&gt;Resumen!$C$40,"",A202)</f>
        <v/>
      </c>
      <c r="C202" s="1">
        <f>+IFERROR(HLOOKUP($B202,Resumen!$F$3:$AM$10,8,0),0)</f>
        <v>0</v>
      </c>
      <c r="D202" s="1">
        <f>+IFERROR(HLOOKUP($B202,Resumen!$F$3:$AM$12,10),0)</f>
        <v>0</v>
      </c>
      <c r="E202" s="1">
        <f>+IF(B202=Resumen!$C$38*6-6,1,0)</f>
        <v>0</v>
      </c>
      <c r="F202" s="1">
        <f>+IFERROR(HLOOKUP($B202,Resumen!$F$3:$AM$14,12),0)</f>
        <v>0</v>
      </c>
      <c r="G202" s="17">
        <f t="shared" ref="G202:G230" si="60">+N201-O201</f>
        <v>5.8207660913467407E-11</v>
      </c>
      <c r="H202" s="17">
        <f>IF(X202="",0,IF(F202=0,ROUND(SUM(J$2:J202)*X202,2),0))</f>
        <v>0</v>
      </c>
      <c r="I202" s="17">
        <f t="shared" si="46"/>
        <v>0</v>
      </c>
      <c r="J202" s="17">
        <f>(Resumen!$C$10*(1-Resumen!$C$24)*(1+Incmat)^5)*C202</f>
        <v>0</v>
      </c>
      <c r="K202" s="17">
        <f>+IF(F202=1,PMT(X202,(Resumen!$C$36+Resumen!$C$26+Resumen!$C$14*6-B202+1),-Amortizacion!G202),0)</f>
        <v>0</v>
      </c>
      <c r="L202" s="17">
        <f t="shared" si="48"/>
        <v>0</v>
      </c>
      <c r="M202" s="17">
        <f>+IF(Resumen!$C$20="no",H202,0)</f>
        <v>0</v>
      </c>
      <c r="N202" s="17">
        <f t="shared" si="49"/>
        <v>5.8207660913467407E-11</v>
      </c>
      <c r="O202" s="17">
        <f>+IF(AND(Resumen!$C$18="SI",Amortizacion!E202=1),SUM($H$2:J202)*25%,0)</f>
        <v>0</v>
      </c>
      <c r="P202" s="1">
        <f t="shared" si="57"/>
        <v>0</v>
      </c>
      <c r="Q202" s="17">
        <f t="shared" si="58"/>
        <v>0</v>
      </c>
      <c r="R202" s="17">
        <f t="shared" si="50"/>
        <v>0</v>
      </c>
      <c r="S202" s="17">
        <f>(Resumen!$C$10*(Resumen!$C$24)*(1+Incmat)^5)*$C202</f>
        <v>0</v>
      </c>
      <c r="T202" s="21">
        <f t="shared" si="51"/>
        <v>0</v>
      </c>
      <c r="U202" s="17">
        <f t="shared" si="52"/>
        <v>0</v>
      </c>
      <c r="V202" s="17">
        <f t="shared" si="53"/>
        <v>0</v>
      </c>
      <c r="W202" s="17">
        <f t="shared" si="59"/>
        <v>5.8207660913467407E-11</v>
      </c>
      <c r="X202" s="15" t="str">
        <f>+IF(B202="","",Resumen!$C$34)</f>
        <v/>
      </c>
      <c r="Y202" s="16">
        <f t="shared" si="47"/>
        <v>0</v>
      </c>
      <c r="Z202" s="20">
        <f t="shared" si="54"/>
        <v>0</v>
      </c>
      <c r="AA202" s="20">
        <f t="shared" si="55"/>
        <v>0</v>
      </c>
      <c r="AB202" s="20">
        <f>+IF(Resumen!$C$8="no",0,W202*((1+10%)^(0.0833333333333333)-1))</f>
        <v>0</v>
      </c>
    </row>
    <row r="203" spans="1:28" x14ac:dyDescent="0.35">
      <c r="A203">
        <f t="shared" si="56"/>
        <v>202</v>
      </c>
      <c r="B203" t="str">
        <f>+IF(A203&gt;Resumen!$C$40,"",A203)</f>
        <v/>
      </c>
      <c r="C203" s="1">
        <f>+IFERROR(HLOOKUP($B203,Resumen!$F$3:$AM$10,8,0),0)</f>
        <v>0</v>
      </c>
      <c r="D203" s="1">
        <f>+IFERROR(HLOOKUP($B203,Resumen!$F$3:$AM$12,10),0)</f>
        <v>0</v>
      </c>
      <c r="E203" s="1">
        <f>+IF(B203=Resumen!$C$38*6-6,1,0)</f>
        <v>0</v>
      </c>
      <c r="F203" s="1">
        <f>+IFERROR(HLOOKUP($B203,Resumen!$F$3:$AM$14,12),0)</f>
        <v>0</v>
      </c>
      <c r="G203" s="17">
        <f t="shared" si="60"/>
        <v>5.8207660913467407E-11</v>
      </c>
      <c r="H203" s="17">
        <f>IF(X203="",0,IF(F203=0,ROUND(SUM(J$2:J203)*X203,2),0))</f>
        <v>0</v>
      </c>
      <c r="I203" s="17">
        <f t="shared" si="46"/>
        <v>0</v>
      </c>
      <c r="J203" s="17">
        <f>(Resumen!$C$10*(1-Resumen!$C$24)*(1+Incmat)^5)*C203</f>
        <v>0</v>
      </c>
      <c r="K203" s="17">
        <f>+IF(F203=1,PMT(X203,(Resumen!$C$36+Resumen!$C$26+Resumen!$C$14*6-B203+1),-Amortizacion!G203),0)</f>
        <v>0</v>
      </c>
      <c r="L203" s="17">
        <f t="shared" si="48"/>
        <v>0</v>
      </c>
      <c r="M203" s="17">
        <f>+IF(Resumen!$C$20="no",H203,0)</f>
        <v>0</v>
      </c>
      <c r="N203" s="17">
        <f t="shared" si="49"/>
        <v>5.8207660913467407E-11</v>
      </c>
      <c r="O203" s="17">
        <f>+IF(AND(Resumen!$C$18="SI",Amortizacion!E203=1),SUM($H$2:J203)*25%,0)</f>
        <v>0</v>
      </c>
      <c r="P203" s="1">
        <f t="shared" si="57"/>
        <v>0</v>
      </c>
      <c r="Q203" s="17">
        <f t="shared" si="58"/>
        <v>0</v>
      </c>
      <c r="R203" s="17">
        <f t="shared" si="50"/>
        <v>0</v>
      </c>
      <c r="S203" s="17">
        <f>(Resumen!$C$10*(Resumen!$C$24)*(1+Incmat)^5)*$C203</f>
        <v>0</v>
      </c>
      <c r="T203" s="21">
        <f t="shared" si="51"/>
        <v>0</v>
      </c>
      <c r="U203" s="17">
        <f t="shared" si="52"/>
        <v>0</v>
      </c>
      <c r="V203" s="17">
        <f t="shared" si="53"/>
        <v>0</v>
      </c>
      <c r="W203" s="17">
        <f t="shared" si="59"/>
        <v>5.8207660913467407E-11</v>
      </c>
      <c r="X203" s="15" t="str">
        <f>+IF(B203="","",Resumen!$C$34)</f>
        <v/>
      </c>
      <c r="Y203" s="16">
        <f t="shared" si="47"/>
        <v>0</v>
      </c>
      <c r="Z203" s="20">
        <f t="shared" si="54"/>
        <v>0</v>
      </c>
      <c r="AA203" s="20">
        <f t="shared" si="55"/>
        <v>0</v>
      </c>
      <c r="AB203" s="20">
        <f>+IF(Resumen!$C$8="no",0,W203*((1+10%)^(0.0833333333333333)-1))</f>
        <v>0</v>
      </c>
    </row>
    <row r="204" spans="1:28" x14ac:dyDescent="0.35">
      <c r="A204">
        <f t="shared" si="56"/>
        <v>203</v>
      </c>
      <c r="B204" t="str">
        <f>+IF(A204&gt;Resumen!$C$40,"",A204)</f>
        <v/>
      </c>
      <c r="C204" s="1">
        <f>+IFERROR(HLOOKUP($B204,Resumen!$F$3:$AM$10,8,0),0)</f>
        <v>0</v>
      </c>
      <c r="D204" s="1">
        <f>+IFERROR(HLOOKUP($B204,Resumen!$F$3:$AM$12,10),0)</f>
        <v>0</v>
      </c>
      <c r="E204" s="1">
        <f>+IF(B204=Resumen!$C$38*6-6,1,0)</f>
        <v>0</v>
      </c>
      <c r="F204" s="1">
        <f>+IFERROR(HLOOKUP($B204,Resumen!$F$3:$AM$14,12),0)</f>
        <v>0</v>
      </c>
      <c r="G204" s="17">
        <f t="shared" si="60"/>
        <v>5.8207660913467407E-11</v>
      </c>
      <c r="H204" s="17">
        <f>IF(X204="",0,IF(F204=0,ROUND(SUM(J$2:J204)*X204,2),0))</f>
        <v>0</v>
      </c>
      <c r="I204" s="17">
        <f t="shared" si="46"/>
        <v>0</v>
      </c>
      <c r="J204" s="17">
        <f>(Resumen!$C$10*(1-Resumen!$C$24)*(1+Incmat)^5)*C204</f>
        <v>0</v>
      </c>
      <c r="K204" s="17">
        <f>+IF(F204=1,PMT(X204,(Resumen!$C$36+Resumen!$C$26+Resumen!$C$14*6-B204+1),-Amortizacion!G204),0)</f>
        <v>0</v>
      </c>
      <c r="L204" s="17">
        <f t="shared" si="48"/>
        <v>0</v>
      </c>
      <c r="M204" s="17">
        <f>+IF(Resumen!$C$20="no",H204,0)</f>
        <v>0</v>
      </c>
      <c r="N204" s="17">
        <f t="shared" si="49"/>
        <v>5.8207660913467407E-11</v>
      </c>
      <c r="O204" s="17">
        <f>+IF(AND(Resumen!$C$18="SI",Amortizacion!E204=1),SUM($H$2:J204)*25%,0)</f>
        <v>0</v>
      </c>
      <c r="P204" s="1">
        <f t="shared" si="57"/>
        <v>0</v>
      </c>
      <c r="Q204" s="17">
        <f t="shared" si="58"/>
        <v>0</v>
      </c>
      <c r="R204" s="17">
        <f t="shared" si="50"/>
        <v>0</v>
      </c>
      <c r="S204" s="17">
        <f>(Resumen!$C$10*(Resumen!$C$24)*(1+Incmat)^5)*$C204</f>
        <v>0</v>
      </c>
      <c r="T204" s="21">
        <f t="shared" si="51"/>
        <v>0</v>
      </c>
      <c r="U204" s="17">
        <f t="shared" si="52"/>
        <v>0</v>
      </c>
      <c r="V204" s="17">
        <f t="shared" si="53"/>
        <v>0</v>
      </c>
      <c r="W204" s="17">
        <f t="shared" si="59"/>
        <v>5.8207660913467407E-11</v>
      </c>
      <c r="X204" s="15" t="str">
        <f>+IF(B204="","",Resumen!$C$34)</f>
        <v/>
      </c>
      <c r="Y204" s="16">
        <f t="shared" si="47"/>
        <v>0</v>
      </c>
      <c r="Z204" s="20">
        <f t="shared" si="54"/>
        <v>0</v>
      </c>
      <c r="AA204" s="20">
        <f t="shared" si="55"/>
        <v>0</v>
      </c>
      <c r="AB204" s="20">
        <f>+IF(Resumen!$C$8="no",0,W204*((1+10%)^(0.0833333333333333)-1))</f>
        <v>0</v>
      </c>
    </row>
    <row r="205" spans="1:28" x14ac:dyDescent="0.35">
      <c r="A205">
        <f t="shared" si="56"/>
        <v>204</v>
      </c>
      <c r="B205" t="str">
        <f>+IF(A205&gt;Resumen!$C$40,"",A205)</f>
        <v/>
      </c>
      <c r="C205" s="1">
        <f>+IFERROR(HLOOKUP($B205,Resumen!$F$3:$AM$10,8,0),0)</f>
        <v>0</v>
      </c>
      <c r="D205" s="1">
        <f>+IFERROR(HLOOKUP($B205,Resumen!$F$3:$AM$12,10),0)</f>
        <v>0</v>
      </c>
      <c r="E205" s="1">
        <f>+IF(B205=Resumen!$C$38*6-6,1,0)</f>
        <v>0</v>
      </c>
      <c r="F205" s="1">
        <f>+IFERROR(HLOOKUP($B205,Resumen!$F$3:$AM$14,12),0)</f>
        <v>0</v>
      </c>
      <c r="G205" s="17">
        <f t="shared" si="60"/>
        <v>5.8207660913467407E-11</v>
      </c>
      <c r="H205" s="17">
        <f>IF(X205="",0,IF(F205=0,ROUND(SUM(J$2:J205)*X205,2),0))</f>
        <v>0</v>
      </c>
      <c r="I205" s="17">
        <f t="shared" si="46"/>
        <v>0</v>
      </c>
      <c r="J205" s="17">
        <f>(Resumen!$C$10*(1-Resumen!$C$24)*(1+Incmat)^5)*C205</f>
        <v>0</v>
      </c>
      <c r="K205" s="17">
        <f>+IF(F205=1,PMT(X205,(Resumen!$C$36+Resumen!$C$26+Resumen!$C$14*6-B205+1),-Amortizacion!G205),0)</f>
        <v>0</v>
      </c>
      <c r="L205" s="17">
        <f t="shared" si="48"/>
        <v>0</v>
      </c>
      <c r="M205" s="17">
        <f>+IF(Resumen!$C$20="no",H205,0)</f>
        <v>0</v>
      </c>
      <c r="N205" s="17">
        <f t="shared" si="49"/>
        <v>5.8207660913467407E-11</v>
      </c>
      <c r="O205" s="17">
        <f>+IF(AND(Resumen!$C$18="SI",Amortizacion!E205=1),SUM($H$2:J205)*25%,0)</f>
        <v>0</v>
      </c>
      <c r="P205" s="1">
        <f t="shared" si="57"/>
        <v>0</v>
      </c>
      <c r="Q205" s="17">
        <f t="shared" si="58"/>
        <v>0</v>
      </c>
      <c r="R205" s="17">
        <f t="shared" si="50"/>
        <v>0</v>
      </c>
      <c r="S205" s="17">
        <f>(Resumen!$C$10*(Resumen!$C$24)*(1+Incmat)^5)*$C205</f>
        <v>0</v>
      </c>
      <c r="T205" s="21">
        <f t="shared" si="51"/>
        <v>0</v>
      </c>
      <c r="U205" s="17">
        <f t="shared" si="52"/>
        <v>0</v>
      </c>
      <c r="V205" s="17">
        <f t="shared" si="53"/>
        <v>0</v>
      </c>
      <c r="W205" s="17">
        <f t="shared" si="59"/>
        <v>5.8207660913467407E-11</v>
      </c>
      <c r="X205" s="15" t="str">
        <f>+IF(B205="","",Resumen!$C$34)</f>
        <v/>
      </c>
      <c r="Y205" s="16">
        <f t="shared" si="47"/>
        <v>0</v>
      </c>
      <c r="Z205" s="20">
        <f t="shared" si="54"/>
        <v>0</v>
      </c>
      <c r="AA205" s="20">
        <f t="shared" si="55"/>
        <v>0</v>
      </c>
      <c r="AB205" s="20">
        <f>+IF(Resumen!$C$8="no",0,W205*((1+10%)^(0.0833333333333333)-1))</f>
        <v>0</v>
      </c>
    </row>
    <row r="206" spans="1:28" x14ac:dyDescent="0.35">
      <c r="A206">
        <f t="shared" si="56"/>
        <v>205</v>
      </c>
      <c r="B206" t="str">
        <f>+IF(A206&gt;Resumen!$C$40,"",A206)</f>
        <v/>
      </c>
      <c r="C206" s="1">
        <f>+IFERROR(HLOOKUP($B206,Resumen!$F$3:$AM$10,8,0),0)</f>
        <v>0</v>
      </c>
      <c r="D206" s="1">
        <f>+IFERROR(HLOOKUP($B206,Resumen!$F$3:$AM$12,10),0)</f>
        <v>0</v>
      </c>
      <c r="E206" s="1">
        <f>+IF(B206=Resumen!$C$38*6-6,1,0)</f>
        <v>0</v>
      </c>
      <c r="F206" s="1">
        <f>+IFERROR(HLOOKUP($B206,Resumen!$F$3:$AM$14,12),0)</f>
        <v>0</v>
      </c>
      <c r="G206" s="17">
        <f t="shared" si="60"/>
        <v>5.8207660913467407E-11</v>
      </c>
      <c r="H206" s="17">
        <f>IF(X206="",0,IF(F206=0,ROUND(SUM(J$2:J206)*X206,2),0))</f>
        <v>0</v>
      </c>
      <c r="I206" s="17">
        <f t="shared" si="46"/>
        <v>0</v>
      </c>
      <c r="J206" s="17">
        <f>(Resumen!$C$10*(1-Resumen!$C$24)*(1+Incmat)^5)*C206</f>
        <v>0</v>
      </c>
      <c r="K206" s="17">
        <f>+IF(F206=1,PMT(X206,(Resumen!$C$36+Resumen!$C$26+Resumen!$C$14*6-B206+1),-Amortizacion!G206),0)</f>
        <v>0</v>
      </c>
      <c r="L206" s="17">
        <f t="shared" si="48"/>
        <v>0</v>
      </c>
      <c r="M206" s="17">
        <f>+IF(Resumen!$C$20="no",H206,0)</f>
        <v>0</v>
      </c>
      <c r="N206" s="17">
        <f t="shared" si="49"/>
        <v>5.8207660913467407E-11</v>
      </c>
      <c r="O206" s="17">
        <f>+IF(AND(Resumen!$C$18="SI",Amortizacion!E206=1),SUM($H$2:J206)*25%,0)</f>
        <v>0</v>
      </c>
      <c r="P206" s="1">
        <f t="shared" si="57"/>
        <v>0</v>
      </c>
      <c r="Q206" s="17">
        <f t="shared" si="58"/>
        <v>0</v>
      </c>
      <c r="R206" s="17">
        <f t="shared" si="50"/>
        <v>0</v>
      </c>
      <c r="S206" s="17">
        <f>(Resumen!$C$10*(Resumen!$C$24)*(1+Incmat)^5)*$C206</f>
        <v>0</v>
      </c>
      <c r="T206" s="21">
        <f t="shared" si="51"/>
        <v>0</v>
      </c>
      <c r="U206" s="17">
        <f t="shared" si="52"/>
        <v>0</v>
      </c>
      <c r="V206" s="17">
        <f t="shared" si="53"/>
        <v>0</v>
      </c>
      <c r="W206" s="17">
        <f t="shared" si="59"/>
        <v>5.8207660913467407E-11</v>
      </c>
      <c r="X206" s="15" t="str">
        <f>+IF(B206="","",Resumen!$C$34)</f>
        <v/>
      </c>
      <c r="Y206" s="16">
        <f t="shared" si="47"/>
        <v>0</v>
      </c>
      <c r="Z206" s="20">
        <f t="shared" si="54"/>
        <v>0</v>
      </c>
      <c r="AA206" s="20">
        <f t="shared" si="55"/>
        <v>0</v>
      </c>
      <c r="AB206" s="20">
        <f>+IF(Resumen!$C$8="no",0,W206*((1+10%)^(0.0833333333333333)-1))</f>
        <v>0</v>
      </c>
    </row>
    <row r="207" spans="1:28" x14ac:dyDescent="0.35">
      <c r="A207">
        <f t="shared" ref="A207:A224" si="61">+A206+1</f>
        <v>206</v>
      </c>
      <c r="B207" t="str">
        <f>+IF(A207&gt;Resumen!$C$40,"",A207)</f>
        <v/>
      </c>
      <c r="C207" s="1">
        <f>+IFERROR(HLOOKUP($B207,Resumen!$F$3:$AM$10,8,0),0)</f>
        <v>0</v>
      </c>
      <c r="D207" s="1">
        <f>+IFERROR(HLOOKUP($B207,Resumen!$F$3:$AM$12,10),0)</f>
        <v>0</v>
      </c>
      <c r="E207" s="1">
        <f>+IF(B207=Resumen!$C$38*6-6,1,0)</f>
        <v>0</v>
      </c>
      <c r="F207" s="1">
        <f>+IFERROR(HLOOKUP($B207,Resumen!$F$3:$AM$14,12),0)</f>
        <v>0</v>
      </c>
      <c r="G207" s="17">
        <f t="shared" si="60"/>
        <v>5.8207660913467407E-11</v>
      </c>
      <c r="H207" s="17">
        <f>IF(X207="",0,IF(F207=0,ROUND(SUM(J$2:J207)*X207,2),0))</f>
        <v>0</v>
      </c>
      <c r="I207" s="17">
        <f t="shared" si="46"/>
        <v>0</v>
      </c>
      <c r="J207" s="17">
        <f>(Resumen!$C$10*(1-Resumen!$C$24)*(1+Incmat)^5)*C207</f>
        <v>0</v>
      </c>
      <c r="K207" s="17">
        <f>+IF(F207=1,PMT(X207,(Resumen!$C$36+Resumen!$C$26+Resumen!$C$14*6-B207+1),-Amortizacion!G207),0)</f>
        <v>0</v>
      </c>
      <c r="L207" s="17">
        <f t="shared" si="48"/>
        <v>0</v>
      </c>
      <c r="M207" s="17">
        <f>+IF(Resumen!$C$20="no",H207,0)</f>
        <v>0</v>
      </c>
      <c r="N207" s="17">
        <f t="shared" si="49"/>
        <v>5.8207660913467407E-11</v>
      </c>
      <c r="O207" s="17">
        <f>+IF(AND(Resumen!$C$18="SI",Amortizacion!E207=1),SUM($H$2:J207)*25%,0)</f>
        <v>0</v>
      </c>
      <c r="P207" s="1">
        <f t="shared" si="57"/>
        <v>0</v>
      </c>
      <c r="Q207" s="17">
        <f t="shared" si="58"/>
        <v>0</v>
      </c>
      <c r="R207" s="17">
        <f t="shared" si="50"/>
        <v>0</v>
      </c>
      <c r="S207" s="17">
        <f>(Resumen!$C$10*(Resumen!$C$24)*(1+Incmat)^5)*$C207</f>
        <v>0</v>
      </c>
      <c r="T207" s="21">
        <f t="shared" si="51"/>
        <v>0</v>
      </c>
      <c r="U207" s="17">
        <f t="shared" si="52"/>
        <v>0</v>
      </c>
      <c r="V207" s="17">
        <f t="shared" si="53"/>
        <v>0</v>
      </c>
      <c r="W207" s="17">
        <f t="shared" si="59"/>
        <v>5.8207660913467407E-11</v>
      </c>
      <c r="X207" s="15" t="str">
        <f>+IF(B207="","",Resumen!$C$34)</f>
        <v/>
      </c>
      <c r="Y207" s="16">
        <f t="shared" si="47"/>
        <v>0</v>
      </c>
      <c r="Z207" s="20">
        <f t="shared" si="54"/>
        <v>0</v>
      </c>
      <c r="AA207" s="20">
        <f t="shared" si="55"/>
        <v>0</v>
      </c>
      <c r="AB207" s="20">
        <f>+IF(Resumen!$C$8="no",0,W207*((1+10%)^(0.0833333333333333)-1))</f>
        <v>0</v>
      </c>
    </row>
    <row r="208" spans="1:28" x14ac:dyDescent="0.35">
      <c r="A208">
        <f t="shared" si="61"/>
        <v>207</v>
      </c>
      <c r="B208" t="str">
        <f>+IF(A208&gt;Resumen!$C$40,"",A208)</f>
        <v/>
      </c>
      <c r="C208" s="1">
        <f>+IFERROR(HLOOKUP($B208,Resumen!$F$3:$AM$10,8,0),0)</f>
        <v>0</v>
      </c>
      <c r="D208" s="1">
        <f>+IFERROR(HLOOKUP($B208,Resumen!$F$3:$AM$12,10),0)</f>
        <v>0</v>
      </c>
      <c r="E208" s="1">
        <f>+IF(B208=Resumen!$C$38*6-6,1,0)</f>
        <v>0</v>
      </c>
      <c r="F208" s="1">
        <f>+IFERROR(HLOOKUP($B208,Resumen!$F$3:$AM$14,12),0)</f>
        <v>0</v>
      </c>
      <c r="G208" s="17">
        <f t="shared" si="60"/>
        <v>5.8207660913467407E-11</v>
      </c>
      <c r="H208" s="17">
        <f>IF(X208="",0,IF(F208=0,ROUND(SUM(J$2:J208)*X208,2),0))</f>
        <v>0</v>
      </c>
      <c r="I208" s="17">
        <f t="shared" si="46"/>
        <v>0</v>
      </c>
      <c r="J208" s="17">
        <f>(Resumen!$C$10*(1-Resumen!$C$24)*(1+Incmat)^5)*C208</f>
        <v>0</v>
      </c>
      <c r="K208" s="17">
        <f>+IF(F208=1,PMT(X208,(Resumen!$C$36+Resumen!$C$26+Resumen!$C$14*6-B208+1),-Amortizacion!G208),0)</f>
        <v>0</v>
      </c>
      <c r="L208" s="17">
        <f t="shared" si="48"/>
        <v>0</v>
      </c>
      <c r="M208" s="17">
        <f>+IF(Resumen!$C$20="no",H208,0)</f>
        <v>0</v>
      </c>
      <c r="N208" s="17">
        <f t="shared" si="49"/>
        <v>5.8207660913467407E-11</v>
      </c>
      <c r="O208" s="17">
        <f>+IF(AND(Resumen!$C$18="SI",Amortizacion!E208=1),SUM($H$2:J208)*25%,0)</f>
        <v>0</v>
      </c>
      <c r="P208" s="1">
        <f t="shared" si="57"/>
        <v>0</v>
      </c>
      <c r="Q208" s="17">
        <f t="shared" si="58"/>
        <v>0</v>
      </c>
      <c r="R208" s="17">
        <f t="shared" si="50"/>
        <v>0</v>
      </c>
      <c r="S208" s="17">
        <f>(Resumen!$C$10*(Resumen!$C$24)*(1+Incmat)^5)*$C208</f>
        <v>0</v>
      </c>
      <c r="T208" s="21">
        <f t="shared" si="51"/>
        <v>0</v>
      </c>
      <c r="U208" s="17">
        <f t="shared" si="52"/>
        <v>0</v>
      </c>
      <c r="V208" s="17">
        <f t="shared" si="53"/>
        <v>0</v>
      </c>
      <c r="W208" s="17">
        <f t="shared" si="59"/>
        <v>5.8207660913467407E-11</v>
      </c>
      <c r="X208" s="15" t="str">
        <f>+IF(B208="","",Resumen!$C$34)</f>
        <v/>
      </c>
      <c r="Y208" s="16">
        <f t="shared" si="47"/>
        <v>0</v>
      </c>
      <c r="Z208" s="20">
        <f t="shared" si="54"/>
        <v>0</v>
      </c>
      <c r="AA208" s="20">
        <f t="shared" si="55"/>
        <v>0</v>
      </c>
      <c r="AB208" s="20">
        <f>+IF(Resumen!$C$8="no",0,W208*((1+10%)^(0.0833333333333333)-1))</f>
        <v>0</v>
      </c>
    </row>
    <row r="209" spans="1:28" x14ac:dyDescent="0.35">
      <c r="A209">
        <f t="shared" si="61"/>
        <v>208</v>
      </c>
      <c r="B209" t="str">
        <f>+IF(A209&gt;Resumen!$C$40,"",A209)</f>
        <v/>
      </c>
      <c r="C209" s="1">
        <f>+IFERROR(HLOOKUP($B209,Resumen!$F$3:$AM$10,8,0),0)</f>
        <v>0</v>
      </c>
      <c r="D209" s="1">
        <f>+IFERROR(HLOOKUP($B209,Resumen!$F$3:$AM$12,10),0)</f>
        <v>0</v>
      </c>
      <c r="E209" s="1">
        <f>+IF(B209=Resumen!$C$38*6-6,1,0)</f>
        <v>0</v>
      </c>
      <c r="F209" s="1">
        <f>+IFERROR(HLOOKUP($B209,Resumen!$F$3:$AM$14,12),0)</f>
        <v>0</v>
      </c>
      <c r="G209" s="17">
        <f t="shared" si="60"/>
        <v>5.8207660913467407E-11</v>
      </c>
      <c r="H209" s="17">
        <f>IF(X209="",0,IF(F209=0,ROUND(SUM(J$2:J209)*X209,2),0))</f>
        <v>0</v>
      </c>
      <c r="I209" s="17">
        <f t="shared" si="46"/>
        <v>0</v>
      </c>
      <c r="J209" s="17">
        <f>(Resumen!$C$10*(1-Resumen!$C$24)*(1+Incmat)^5)*C209</f>
        <v>0</v>
      </c>
      <c r="K209" s="17">
        <f>+IF(F209=1,PMT(X209,(Resumen!$C$36+Resumen!$C$26+Resumen!$C$14*6-B209+1),-Amortizacion!G209),0)</f>
        <v>0</v>
      </c>
      <c r="L209" s="17">
        <f t="shared" si="48"/>
        <v>0</v>
      </c>
      <c r="M209" s="17">
        <f>+IF(Resumen!$C$20="no",H209,0)</f>
        <v>0</v>
      </c>
      <c r="N209" s="17">
        <f t="shared" si="49"/>
        <v>5.8207660913467407E-11</v>
      </c>
      <c r="O209" s="17">
        <f>+IF(AND(Resumen!$C$18="SI",Amortizacion!E209=1),SUM($H$2:J209)*25%,0)</f>
        <v>0</v>
      </c>
      <c r="P209" s="1">
        <f t="shared" si="57"/>
        <v>0</v>
      </c>
      <c r="Q209" s="17">
        <f t="shared" si="58"/>
        <v>0</v>
      </c>
      <c r="R209" s="17">
        <f t="shared" si="50"/>
        <v>0</v>
      </c>
      <c r="S209" s="17">
        <f>(Resumen!$C$10*(Resumen!$C$24)*(1+Incmat)^5)*$C209</f>
        <v>0</v>
      </c>
      <c r="T209" s="21">
        <f t="shared" si="51"/>
        <v>0</v>
      </c>
      <c r="U209" s="17">
        <f t="shared" si="52"/>
        <v>0</v>
      </c>
      <c r="V209" s="17">
        <f t="shared" si="53"/>
        <v>0</v>
      </c>
      <c r="W209" s="17">
        <f t="shared" si="59"/>
        <v>5.8207660913467407E-11</v>
      </c>
      <c r="X209" s="15" t="str">
        <f>+IF(B209="","",Resumen!$C$34)</f>
        <v/>
      </c>
      <c r="Y209" s="16">
        <f t="shared" si="47"/>
        <v>0</v>
      </c>
      <c r="Z209" s="20">
        <f t="shared" si="54"/>
        <v>0</v>
      </c>
      <c r="AA209" s="20">
        <f t="shared" si="55"/>
        <v>0</v>
      </c>
      <c r="AB209" s="20">
        <f>+IF(Resumen!$C$8="no",0,W209*((1+10%)^(0.0833333333333333)-1))</f>
        <v>0</v>
      </c>
    </row>
    <row r="210" spans="1:28" x14ac:dyDescent="0.35">
      <c r="A210">
        <f t="shared" si="61"/>
        <v>209</v>
      </c>
      <c r="B210" t="str">
        <f>+IF(A210&gt;Resumen!$C$40,"",A210)</f>
        <v/>
      </c>
      <c r="C210" s="1">
        <f>+IFERROR(HLOOKUP($B210,Resumen!$F$3:$AM$10,8,0),0)</f>
        <v>0</v>
      </c>
      <c r="D210" s="1">
        <f>+IFERROR(HLOOKUP($B210,Resumen!$F$3:$AM$12,10),0)</f>
        <v>0</v>
      </c>
      <c r="E210" s="1">
        <f>+IF(B210=Resumen!$C$38*6-6,1,0)</f>
        <v>0</v>
      </c>
      <c r="F210" s="1">
        <f>+IFERROR(HLOOKUP($B210,Resumen!$F$3:$AM$14,12),0)</f>
        <v>0</v>
      </c>
      <c r="G210" s="17">
        <f t="shared" si="60"/>
        <v>5.8207660913467407E-11</v>
      </c>
      <c r="H210" s="17">
        <f>IF(X210="",0,IF(F210=0,ROUND(SUM(J$2:J210)*X210,2),0))</f>
        <v>0</v>
      </c>
      <c r="I210" s="17">
        <f t="shared" si="46"/>
        <v>0</v>
      </c>
      <c r="J210" s="17">
        <f>(Resumen!$C$10*(1-Resumen!$C$24)*(1+Incmat)^5)*C210</f>
        <v>0</v>
      </c>
      <c r="K210" s="17">
        <f>+IF(F210=1,PMT(X210,(Resumen!$C$36+Resumen!$C$26+Resumen!$C$14*6-B210+1),-Amortizacion!G210),0)</f>
        <v>0</v>
      </c>
      <c r="L210" s="17">
        <f t="shared" si="48"/>
        <v>0</v>
      </c>
      <c r="M210" s="17">
        <f>+IF(Resumen!$C$20="no",H210,0)</f>
        <v>0</v>
      </c>
      <c r="N210" s="17">
        <f t="shared" si="49"/>
        <v>5.8207660913467407E-11</v>
      </c>
      <c r="O210" s="17">
        <f>+IF(AND(Resumen!$C$18="SI",Amortizacion!E210=1),SUM($H$2:J210)*25%,0)</f>
        <v>0</v>
      </c>
      <c r="P210" s="1">
        <f t="shared" si="57"/>
        <v>0</v>
      </c>
      <c r="Q210" s="17">
        <f t="shared" si="58"/>
        <v>0</v>
      </c>
      <c r="R210" s="17">
        <f t="shared" si="50"/>
        <v>0</v>
      </c>
      <c r="S210" s="17">
        <f>(Resumen!$C$10*(Resumen!$C$24)*(1+Incmat)^5)*$C210</f>
        <v>0</v>
      </c>
      <c r="T210" s="21">
        <f t="shared" si="51"/>
        <v>0</v>
      </c>
      <c r="U210" s="17">
        <f t="shared" si="52"/>
        <v>0</v>
      </c>
      <c r="V210" s="17">
        <f t="shared" si="53"/>
        <v>0</v>
      </c>
      <c r="W210" s="17">
        <f t="shared" si="59"/>
        <v>5.8207660913467407E-11</v>
      </c>
      <c r="X210" s="15" t="str">
        <f>+IF(B210="","",Resumen!$C$34)</f>
        <v/>
      </c>
      <c r="Y210" s="16">
        <f t="shared" si="47"/>
        <v>0</v>
      </c>
      <c r="Z210" s="20">
        <f t="shared" si="54"/>
        <v>0</v>
      </c>
      <c r="AA210" s="20">
        <f t="shared" si="55"/>
        <v>0</v>
      </c>
      <c r="AB210" s="20">
        <f>+IF(Resumen!$C$8="no",0,W210*((1+10%)^(0.0833333333333333)-1))</f>
        <v>0</v>
      </c>
    </row>
    <row r="211" spans="1:28" x14ac:dyDescent="0.35">
      <c r="A211">
        <f t="shared" si="61"/>
        <v>210</v>
      </c>
      <c r="B211" t="str">
        <f>+IF(A211&gt;Resumen!$C$40,"",A211)</f>
        <v/>
      </c>
      <c r="C211" s="1">
        <f>+IFERROR(HLOOKUP($B211,Resumen!$F$3:$AM$10,8,0),0)</f>
        <v>0</v>
      </c>
      <c r="D211" s="1">
        <f>+IFERROR(HLOOKUP($B211,Resumen!$F$3:$AM$12,10),0)</f>
        <v>0</v>
      </c>
      <c r="E211" s="1">
        <f>+IF(B211=Resumen!$C$38*6-6,1,0)</f>
        <v>0</v>
      </c>
      <c r="F211" s="1">
        <f>+IFERROR(HLOOKUP($B211,Resumen!$F$3:$AM$14,12),0)</f>
        <v>0</v>
      </c>
      <c r="G211" s="17">
        <f t="shared" si="60"/>
        <v>5.8207660913467407E-11</v>
      </c>
      <c r="H211" s="17">
        <f>IF(X211="",0,IF(F211=0,ROUND(SUM(J$2:J211)*X211,2),0))</f>
        <v>0</v>
      </c>
      <c r="I211" s="17">
        <f t="shared" si="46"/>
        <v>0</v>
      </c>
      <c r="J211" s="17">
        <f>(Resumen!$C$10*(1-Resumen!$C$24)*(1+Incmat)^5)*C211</f>
        <v>0</v>
      </c>
      <c r="K211" s="17">
        <f>+IF(F211=1,PMT(X211,(Resumen!$C$36+Resumen!$C$26+Resumen!$C$14*6-B211+1),-Amortizacion!G211),0)</f>
        <v>0</v>
      </c>
      <c r="L211" s="17">
        <f t="shared" si="48"/>
        <v>0</v>
      </c>
      <c r="M211" s="17">
        <f>+IF(Resumen!$C$20="no",H211,0)</f>
        <v>0</v>
      </c>
      <c r="N211" s="17">
        <f t="shared" si="49"/>
        <v>5.8207660913467407E-11</v>
      </c>
      <c r="O211" s="17">
        <f>+IF(AND(Resumen!$C$18="SI",Amortizacion!E211=1),SUM($H$2:J211)*25%,0)</f>
        <v>0</v>
      </c>
      <c r="P211" s="1">
        <f t="shared" si="57"/>
        <v>0</v>
      </c>
      <c r="Q211" s="17">
        <f t="shared" si="58"/>
        <v>0</v>
      </c>
      <c r="R211" s="17">
        <f t="shared" si="50"/>
        <v>0</v>
      </c>
      <c r="S211" s="17">
        <f>(Resumen!$C$10*(Resumen!$C$24)*(1+Incmat)^5)*$C211</f>
        <v>0</v>
      </c>
      <c r="T211" s="21">
        <f t="shared" si="51"/>
        <v>0</v>
      </c>
      <c r="U211" s="17">
        <f t="shared" si="52"/>
        <v>0</v>
      </c>
      <c r="V211" s="17">
        <f t="shared" si="53"/>
        <v>0</v>
      </c>
      <c r="W211" s="17">
        <f t="shared" si="59"/>
        <v>5.8207660913467407E-11</v>
      </c>
      <c r="X211" s="15" t="str">
        <f>+IF(B211="","",Resumen!$C$34)</f>
        <v/>
      </c>
      <c r="Y211" s="16">
        <f t="shared" si="47"/>
        <v>0</v>
      </c>
      <c r="Z211" s="20">
        <f t="shared" si="54"/>
        <v>0</v>
      </c>
      <c r="AA211" s="20">
        <f t="shared" si="55"/>
        <v>0</v>
      </c>
      <c r="AB211" s="20">
        <f>+IF(Resumen!$C$8="no",0,W211*((1+10%)^(0.0833333333333333)-1))</f>
        <v>0</v>
      </c>
    </row>
    <row r="212" spans="1:28" x14ac:dyDescent="0.35">
      <c r="A212">
        <f t="shared" si="61"/>
        <v>211</v>
      </c>
      <c r="B212" t="str">
        <f>+IF(A212&gt;Resumen!$C$40,"",A212)</f>
        <v/>
      </c>
      <c r="C212" s="1">
        <f>+IFERROR(HLOOKUP($B212,Resumen!$F$3:$AM$10,8,0),0)</f>
        <v>0</v>
      </c>
      <c r="D212" s="1">
        <f>+IFERROR(HLOOKUP($B212,Resumen!$F$3:$AM$12,10),0)</f>
        <v>0</v>
      </c>
      <c r="E212" s="1">
        <f>+IF(B212=Resumen!$C$38*6-6,1,0)</f>
        <v>0</v>
      </c>
      <c r="F212" s="1">
        <f>+IFERROR(HLOOKUP($B212,Resumen!$F$3:$AM$14,12),0)</f>
        <v>0</v>
      </c>
      <c r="G212" s="17">
        <f t="shared" si="60"/>
        <v>5.8207660913467407E-11</v>
      </c>
      <c r="H212" s="17">
        <f>IF(X212="",0,IF(F212=0,ROUND(SUM(J$2:J212)*X212,2),0))</f>
        <v>0</v>
      </c>
      <c r="I212" s="17">
        <f t="shared" si="46"/>
        <v>0</v>
      </c>
      <c r="J212" s="17">
        <f>(Resumen!$C$10*(1-Resumen!$C$24)*(1+Incmat)^5)*C212</f>
        <v>0</v>
      </c>
      <c r="K212" s="17">
        <f>+IF(F212=1,PMT(X212,(Resumen!$C$36+Resumen!$C$26+Resumen!$C$14*6-B212+1),-Amortizacion!G212),0)</f>
        <v>0</v>
      </c>
      <c r="L212" s="17">
        <f t="shared" si="48"/>
        <v>0</v>
      </c>
      <c r="M212" s="17">
        <f>+IF(Resumen!$C$20="no",H212,0)</f>
        <v>0</v>
      </c>
      <c r="N212" s="17">
        <f t="shared" si="49"/>
        <v>5.8207660913467407E-11</v>
      </c>
      <c r="O212" s="17">
        <f>+IF(AND(Resumen!$C$18="SI",Amortizacion!E212=1),SUM($H$2:J212)*25%,0)</f>
        <v>0</v>
      </c>
      <c r="P212" s="1">
        <f t="shared" si="57"/>
        <v>0</v>
      </c>
      <c r="Q212" s="17">
        <f t="shared" si="58"/>
        <v>0</v>
      </c>
      <c r="R212" s="17">
        <f t="shared" si="50"/>
        <v>0</v>
      </c>
      <c r="S212" s="17">
        <f>(Resumen!$C$10*(Resumen!$C$24)*(1+Incmat)^5)*$C212</f>
        <v>0</v>
      </c>
      <c r="T212" s="21">
        <f t="shared" si="51"/>
        <v>0</v>
      </c>
      <c r="U212" s="17">
        <f t="shared" si="52"/>
        <v>0</v>
      </c>
      <c r="V212" s="17">
        <f t="shared" si="53"/>
        <v>0</v>
      </c>
      <c r="W212" s="17">
        <f t="shared" si="59"/>
        <v>5.8207660913467407E-11</v>
      </c>
      <c r="X212" s="15" t="str">
        <f>+IF(B212="","",Resumen!$C$34)</f>
        <v/>
      </c>
      <c r="Y212" s="16">
        <f t="shared" si="47"/>
        <v>0</v>
      </c>
      <c r="Z212" s="20">
        <f t="shared" si="54"/>
        <v>0</v>
      </c>
      <c r="AA212" s="20">
        <f t="shared" si="55"/>
        <v>0</v>
      </c>
      <c r="AB212" s="20">
        <f>+IF(Resumen!$C$8="no",0,W212*((1+10%)^(0.0833333333333333)-1))</f>
        <v>0</v>
      </c>
    </row>
    <row r="213" spans="1:28" x14ac:dyDescent="0.35">
      <c r="A213">
        <f t="shared" si="61"/>
        <v>212</v>
      </c>
      <c r="B213" t="str">
        <f>+IF(A213&gt;Resumen!$C$40,"",A213)</f>
        <v/>
      </c>
      <c r="C213" s="1">
        <f>+IFERROR(HLOOKUP($B213,Resumen!$F$3:$AM$10,8,0),0)</f>
        <v>0</v>
      </c>
      <c r="D213" s="1">
        <f>+IFERROR(HLOOKUP($B213,Resumen!$F$3:$AM$12,10),0)</f>
        <v>0</v>
      </c>
      <c r="E213" s="1">
        <f>+IF(B213=Resumen!$C$38*6-6,1,0)</f>
        <v>0</v>
      </c>
      <c r="F213" s="1">
        <f>+IFERROR(HLOOKUP($B213,Resumen!$F$3:$AM$14,12),0)</f>
        <v>0</v>
      </c>
      <c r="G213" s="17">
        <f t="shared" si="60"/>
        <v>5.8207660913467407E-11</v>
      </c>
      <c r="H213" s="17">
        <f>IF(X213="",0,IF(F213=0,ROUND(SUM(J$2:J213)*X213,2),0))</f>
        <v>0</v>
      </c>
      <c r="I213" s="17">
        <f t="shared" si="46"/>
        <v>0</v>
      </c>
      <c r="J213" s="17">
        <f>(Resumen!$C$10*(1-Resumen!$C$24)*(1+Incmat)^5)*C213</f>
        <v>0</v>
      </c>
      <c r="K213" s="17">
        <f>+IF(F213=1,PMT(X213,(Resumen!$C$36+Resumen!$C$26+Resumen!$C$14*6-B213+1),-Amortizacion!G213),0)</f>
        <v>0</v>
      </c>
      <c r="L213" s="17">
        <f t="shared" si="48"/>
        <v>0</v>
      </c>
      <c r="M213" s="17">
        <f>+IF(Resumen!$C$20="no",H213,0)</f>
        <v>0</v>
      </c>
      <c r="N213" s="17">
        <f t="shared" si="49"/>
        <v>5.8207660913467407E-11</v>
      </c>
      <c r="O213" s="17">
        <f>+IF(AND(Resumen!$C$18="SI",Amortizacion!E213=1),SUM($H$2:J213)*25%,0)</f>
        <v>0</v>
      </c>
      <c r="P213" s="1">
        <f t="shared" si="57"/>
        <v>0</v>
      </c>
      <c r="Q213" s="17">
        <f t="shared" si="58"/>
        <v>0</v>
      </c>
      <c r="R213" s="17">
        <f t="shared" si="50"/>
        <v>0</v>
      </c>
      <c r="S213" s="17">
        <f>(Resumen!$C$10*(Resumen!$C$24)*(1+Incmat)^5)*$C213</f>
        <v>0</v>
      </c>
      <c r="T213" s="21">
        <f t="shared" si="51"/>
        <v>0</v>
      </c>
      <c r="U213" s="17">
        <f t="shared" si="52"/>
        <v>0</v>
      </c>
      <c r="V213" s="17">
        <f t="shared" si="53"/>
        <v>0</v>
      </c>
      <c r="W213" s="17">
        <f t="shared" si="59"/>
        <v>5.8207660913467407E-11</v>
      </c>
      <c r="X213" s="15" t="str">
        <f>+IF(B213="","",Resumen!$C$34)</f>
        <v/>
      </c>
      <c r="Y213" s="16">
        <f t="shared" si="47"/>
        <v>0</v>
      </c>
      <c r="Z213" s="20">
        <f t="shared" si="54"/>
        <v>0</v>
      </c>
      <c r="AA213" s="20">
        <f t="shared" si="55"/>
        <v>0</v>
      </c>
      <c r="AB213" s="20">
        <f>+IF(Resumen!$C$8="no",0,W213*((1+10%)^(0.0833333333333333)-1))</f>
        <v>0</v>
      </c>
    </row>
    <row r="214" spans="1:28" x14ac:dyDescent="0.35">
      <c r="A214">
        <f t="shared" si="61"/>
        <v>213</v>
      </c>
      <c r="B214" t="str">
        <f>+IF(A214&gt;Resumen!$C$40,"",A214)</f>
        <v/>
      </c>
      <c r="C214" s="1">
        <f>+IFERROR(HLOOKUP($B214,Resumen!$F$3:$AM$10,8,0),0)</f>
        <v>0</v>
      </c>
      <c r="D214" s="1">
        <f>+IFERROR(HLOOKUP($B214,Resumen!$F$3:$AM$12,10),0)</f>
        <v>0</v>
      </c>
      <c r="E214" s="1">
        <f>+IF(B214=Resumen!$C$38*6-6,1,0)</f>
        <v>0</v>
      </c>
      <c r="F214" s="1">
        <f>+IFERROR(HLOOKUP($B214,Resumen!$F$3:$AM$14,12),0)</f>
        <v>0</v>
      </c>
      <c r="G214" s="17">
        <f t="shared" si="60"/>
        <v>5.8207660913467407E-11</v>
      </c>
      <c r="H214" s="17">
        <f>IF(X214="",0,IF(F214=0,ROUND(SUM(J$2:J214)*X214,2),0))</f>
        <v>0</v>
      </c>
      <c r="I214" s="17">
        <f t="shared" si="46"/>
        <v>0</v>
      </c>
      <c r="J214" s="17">
        <f>(Resumen!$C$10*(1-Resumen!$C$24)*(1+Incmat)^5)*C214</f>
        <v>0</v>
      </c>
      <c r="K214" s="17">
        <f>+IF(F214=1,PMT(X214,(Resumen!$C$36+Resumen!$C$26+Resumen!$C$14*6-B214+1),-Amortizacion!G214),0)</f>
        <v>0</v>
      </c>
      <c r="L214" s="17">
        <f t="shared" si="48"/>
        <v>0</v>
      </c>
      <c r="M214" s="17">
        <f>+IF(Resumen!$C$20="no",H214,0)</f>
        <v>0</v>
      </c>
      <c r="N214" s="17">
        <f t="shared" si="49"/>
        <v>5.8207660913467407E-11</v>
      </c>
      <c r="O214" s="17">
        <f>+IF(AND(Resumen!$C$18="SI",Amortizacion!E214=1),SUM($H$2:J214)*25%,0)</f>
        <v>0</v>
      </c>
      <c r="P214" s="1">
        <f t="shared" si="57"/>
        <v>0</v>
      </c>
      <c r="Q214" s="17">
        <f t="shared" si="58"/>
        <v>0</v>
      </c>
      <c r="R214" s="17">
        <f t="shared" si="50"/>
        <v>0</v>
      </c>
      <c r="S214" s="17">
        <f>(Resumen!$C$10*(Resumen!$C$24)*(1+Incmat)^5)*$C214</f>
        <v>0</v>
      </c>
      <c r="T214" s="21">
        <f t="shared" si="51"/>
        <v>0</v>
      </c>
      <c r="U214" s="17">
        <f t="shared" si="52"/>
        <v>0</v>
      </c>
      <c r="V214" s="17">
        <f t="shared" si="53"/>
        <v>0</v>
      </c>
      <c r="W214" s="17">
        <f t="shared" si="59"/>
        <v>5.8207660913467407E-11</v>
      </c>
      <c r="X214" s="15" t="str">
        <f>+IF(B214="","",Resumen!$C$34)</f>
        <v/>
      </c>
      <c r="Y214" s="16">
        <f t="shared" si="47"/>
        <v>0</v>
      </c>
      <c r="Z214" s="20">
        <f t="shared" si="54"/>
        <v>0</v>
      </c>
      <c r="AA214" s="20">
        <f t="shared" si="55"/>
        <v>0</v>
      </c>
      <c r="AB214" s="20">
        <f>+IF(Resumen!$C$8="no",0,W214*((1+10%)^(0.0833333333333333)-1))</f>
        <v>0</v>
      </c>
    </row>
    <row r="215" spans="1:28" x14ac:dyDescent="0.35">
      <c r="A215">
        <f t="shared" si="61"/>
        <v>214</v>
      </c>
      <c r="B215" t="str">
        <f>+IF(A215&gt;Resumen!$C$40,"",A215)</f>
        <v/>
      </c>
      <c r="C215" s="1">
        <f>+IFERROR(HLOOKUP($B215,Resumen!$F$3:$AM$10,8,0),0)</f>
        <v>0</v>
      </c>
      <c r="D215" s="1">
        <f>+IFERROR(HLOOKUP($B215,Resumen!$F$3:$AM$12,10),0)</f>
        <v>0</v>
      </c>
      <c r="E215" s="1">
        <f>+IF(B215=Resumen!$C$38*6-6,1,0)</f>
        <v>0</v>
      </c>
      <c r="F215" s="1">
        <f>+IFERROR(HLOOKUP($B215,Resumen!$F$3:$AM$14,12),0)</f>
        <v>0</v>
      </c>
      <c r="G215" s="17">
        <f t="shared" si="60"/>
        <v>5.8207660913467407E-11</v>
      </c>
      <c r="H215" s="17">
        <f>IF(X215="",0,IF(F215=0,ROUND(SUM(J$2:J215)*X215,2),0))</f>
        <v>0</v>
      </c>
      <c r="I215" s="17">
        <f t="shared" si="46"/>
        <v>0</v>
      </c>
      <c r="J215" s="17">
        <f>(Resumen!$C$10*(1-Resumen!$C$24)*(1+Incmat)^5)*C215</f>
        <v>0</v>
      </c>
      <c r="K215" s="17">
        <f>+IF(F215=1,PMT(X215,(Resumen!$C$36+Resumen!$C$26+Resumen!$C$14*6-B215+1),-Amortizacion!G215),0)</f>
        <v>0</v>
      </c>
      <c r="L215" s="17">
        <f t="shared" si="48"/>
        <v>0</v>
      </c>
      <c r="M215" s="17">
        <f>+IF(Resumen!$C$20="no",H215,0)</f>
        <v>0</v>
      </c>
      <c r="N215" s="17">
        <f t="shared" si="49"/>
        <v>5.8207660913467407E-11</v>
      </c>
      <c r="O215" s="17">
        <f>+IF(AND(Resumen!$C$18="SI",Amortizacion!E215=1),SUM($H$2:J215)*25%,0)</f>
        <v>0</v>
      </c>
      <c r="P215" s="1">
        <f t="shared" si="57"/>
        <v>0</v>
      </c>
      <c r="Q215" s="17">
        <f t="shared" si="58"/>
        <v>0</v>
      </c>
      <c r="R215" s="17">
        <f t="shared" si="50"/>
        <v>0</v>
      </c>
      <c r="S215" s="17">
        <f>(Resumen!$C$10*(Resumen!$C$24)*(1+Incmat)^5)*$C215</f>
        <v>0</v>
      </c>
      <c r="T215" s="21">
        <f t="shared" si="51"/>
        <v>0</v>
      </c>
      <c r="U215" s="17">
        <f t="shared" si="52"/>
        <v>0</v>
      </c>
      <c r="V215" s="17">
        <f t="shared" si="53"/>
        <v>0</v>
      </c>
      <c r="W215" s="17">
        <f t="shared" si="59"/>
        <v>5.8207660913467407E-11</v>
      </c>
      <c r="X215" s="15" t="str">
        <f>+IF(B215="","",Resumen!$C$34)</f>
        <v/>
      </c>
      <c r="Y215" s="16">
        <f t="shared" si="47"/>
        <v>0</v>
      </c>
      <c r="Z215" s="20">
        <f t="shared" si="54"/>
        <v>0</v>
      </c>
      <c r="AA215" s="20">
        <f t="shared" si="55"/>
        <v>0</v>
      </c>
      <c r="AB215" s="20">
        <f>+IF(Resumen!$C$8="no",0,W215*((1+10%)^(0.0833333333333333)-1))</f>
        <v>0</v>
      </c>
    </row>
    <row r="216" spans="1:28" x14ac:dyDescent="0.35">
      <c r="A216">
        <f t="shared" si="61"/>
        <v>215</v>
      </c>
      <c r="B216" t="str">
        <f>+IF(A216&gt;Resumen!$C$40,"",A216)</f>
        <v/>
      </c>
      <c r="C216" s="1">
        <f>+IFERROR(HLOOKUP($B216,Resumen!$F$3:$AM$10,8,0),0)</f>
        <v>0</v>
      </c>
      <c r="D216" s="1">
        <f>+IFERROR(HLOOKUP($B216,Resumen!$F$3:$AM$12,10),0)</f>
        <v>0</v>
      </c>
      <c r="E216" s="1">
        <f>+IF(B216=Resumen!$C$38*6-6,1,0)</f>
        <v>0</v>
      </c>
      <c r="F216" s="1">
        <f>+IFERROR(HLOOKUP($B216,Resumen!$F$3:$AM$14,12),0)</f>
        <v>0</v>
      </c>
      <c r="G216" s="17">
        <f t="shared" si="60"/>
        <v>5.8207660913467407E-11</v>
      </c>
      <c r="H216" s="17">
        <f>IF(X216="",0,IF(F216=0,ROUND(SUM(J$2:J216)*X216,2),0))</f>
        <v>0</v>
      </c>
      <c r="I216" s="17">
        <f t="shared" si="46"/>
        <v>0</v>
      </c>
      <c r="J216" s="17">
        <f>(Resumen!$C$10*(1-Resumen!$C$24)*(1+Incmat)^5)*C216</f>
        <v>0</v>
      </c>
      <c r="K216" s="17">
        <f>+IF(F216=1,PMT(X216,(Resumen!$C$36+Resumen!$C$26+Resumen!$C$14*6-B216+1),-Amortizacion!G216),0)</f>
        <v>0</v>
      </c>
      <c r="L216" s="17">
        <f t="shared" si="48"/>
        <v>0</v>
      </c>
      <c r="M216" s="17">
        <f>+IF(Resumen!$C$20="no",H216,0)</f>
        <v>0</v>
      </c>
      <c r="N216" s="17">
        <f t="shared" si="49"/>
        <v>5.8207660913467407E-11</v>
      </c>
      <c r="O216" s="17">
        <f>+IF(AND(Resumen!$C$18="SI",Amortizacion!E216=1),SUM($H$2:J216)*25%,0)</f>
        <v>0</v>
      </c>
      <c r="P216" s="1">
        <f t="shared" si="57"/>
        <v>0</v>
      </c>
      <c r="Q216" s="17">
        <f t="shared" si="58"/>
        <v>0</v>
      </c>
      <c r="R216" s="17">
        <f t="shared" si="50"/>
        <v>0</v>
      </c>
      <c r="S216" s="17">
        <f>(Resumen!$C$10*(Resumen!$C$24)*(1+Incmat)^5)*$C216</f>
        <v>0</v>
      </c>
      <c r="T216" s="21">
        <f t="shared" si="51"/>
        <v>0</v>
      </c>
      <c r="U216" s="17">
        <f t="shared" si="52"/>
        <v>0</v>
      </c>
      <c r="V216" s="17">
        <f t="shared" si="53"/>
        <v>0</v>
      </c>
      <c r="W216" s="17">
        <f t="shared" si="59"/>
        <v>5.8207660913467407E-11</v>
      </c>
      <c r="X216" s="15" t="str">
        <f>+IF(B216="","",Resumen!$C$34)</f>
        <v/>
      </c>
      <c r="Y216" s="16">
        <f t="shared" si="47"/>
        <v>0</v>
      </c>
      <c r="Z216" s="20">
        <f t="shared" si="54"/>
        <v>0</v>
      </c>
      <c r="AA216" s="20">
        <f t="shared" si="55"/>
        <v>0</v>
      </c>
      <c r="AB216" s="20">
        <f>+IF(Resumen!$C$8="no",0,W216*((1+10%)^(0.0833333333333333)-1))</f>
        <v>0</v>
      </c>
    </row>
    <row r="217" spans="1:28" x14ac:dyDescent="0.35">
      <c r="A217">
        <f t="shared" si="61"/>
        <v>216</v>
      </c>
      <c r="B217" t="str">
        <f>+IF(A217&gt;Resumen!$C$40,"",A217)</f>
        <v/>
      </c>
      <c r="C217" s="1">
        <f>+IFERROR(HLOOKUP($B217,Resumen!$F$3:$AM$10,8,0),0)</f>
        <v>0</v>
      </c>
      <c r="D217" s="1">
        <f>+IFERROR(HLOOKUP($B217,Resumen!$F$3:$AM$12,10),0)</f>
        <v>0</v>
      </c>
      <c r="E217" s="1">
        <f>+IF(B217=Resumen!$C$38*6-6,1,0)</f>
        <v>0</v>
      </c>
      <c r="F217" s="1">
        <f>+IFERROR(HLOOKUP($B217,Resumen!$F$3:$AM$14,12),0)</f>
        <v>0</v>
      </c>
      <c r="G217" s="17">
        <f t="shared" si="60"/>
        <v>5.8207660913467407E-11</v>
      </c>
      <c r="H217" s="17">
        <f>IF(X217="",0,IF(F217=0,ROUND(SUM(J$2:J217)*X217,2),0))</f>
        <v>0</v>
      </c>
      <c r="I217" s="17">
        <f t="shared" si="46"/>
        <v>0</v>
      </c>
      <c r="J217" s="17">
        <f>(Resumen!$C$10*(1-Resumen!$C$24)*(1+Incmat)^5)*C217</f>
        <v>0</v>
      </c>
      <c r="K217" s="17">
        <f>+IF(F217=1,PMT(X217,(Resumen!$C$36+Resumen!$C$26+Resumen!$C$14*6-B217+1),-Amortizacion!G217),0)</f>
        <v>0</v>
      </c>
      <c r="L217" s="17">
        <f t="shared" si="48"/>
        <v>0</v>
      </c>
      <c r="M217" s="17">
        <f>+IF(Resumen!$C$20="no",H217,0)</f>
        <v>0</v>
      </c>
      <c r="N217" s="17">
        <f t="shared" si="49"/>
        <v>5.8207660913467407E-11</v>
      </c>
      <c r="O217" s="17">
        <f>+IF(AND(Resumen!$C$18="SI",Amortizacion!E217=1),SUM($H$2:J217)*25%,0)</f>
        <v>0</v>
      </c>
      <c r="P217" s="1">
        <f t="shared" si="57"/>
        <v>0</v>
      </c>
      <c r="Q217" s="17">
        <f t="shared" si="58"/>
        <v>0</v>
      </c>
      <c r="R217" s="17">
        <f t="shared" si="50"/>
        <v>0</v>
      </c>
      <c r="S217" s="17">
        <f>(Resumen!$C$10*(Resumen!$C$24)*(1+Incmat)^5)*$C217</f>
        <v>0</v>
      </c>
      <c r="T217" s="21">
        <f t="shared" si="51"/>
        <v>0</v>
      </c>
      <c r="U217" s="17">
        <f t="shared" si="52"/>
        <v>0</v>
      </c>
      <c r="V217" s="17">
        <f t="shared" si="53"/>
        <v>0</v>
      </c>
      <c r="W217" s="17">
        <f t="shared" si="59"/>
        <v>5.8207660913467407E-11</v>
      </c>
      <c r="X217" s="15" t="str">
        <f>+IF(B217="","",Resumen!$C$34)</f>
        <v/>
      </c>
      <c r="Y217" s="16">
        <f t="shared" si="47"/>
        <v>0</v>
      </c>
      <c r="Z217" s="20">
        <f t="shared" si="54"/>
        <v>0</v>
      </c>
      <c r="AA217" s="20">
        <f t="shared" si="55"/>
        <v>0</v>
      </c>
      <c r="AB217" s="20">
        <f>+IF(Resumen!$C$8="no",0,W217*((1+10%)^(0.0833333333333333)-1))</f>
        <v>0</v>
      </c>
    </row>
    <row r="218" spans="1:28" x14ac:dyDescent="0.35">
      <c r="A218">
        <f t="shared" si="61"/>
        <v>217</v>
      </c>
      <c r="B218" t="str">
        <f>+IF(A218&gt;Resumen!$C$40,"",A218)</f>
        <v/>
      </c>
      <c r="C218" s="1">
        <f>+IFERROR(HLOOKUP($B218,Resumen!$F$3:$AM$10,8,0),0)</f>
        <v>0</v>
      </c>
      <c r="D218" s="1">
        <f>+IFERROR(HLOOKUP($B218,Resumen!$F$3:$AM$12,10),0)</f>
        <v>0</v>
      </c>
      <c r="E218" s="1">
        <f>+IF(B218=Resumen!$C$38*6-6,1,0)</f>
        <v>0</v>
      </c>
      <c r="F218" s="1">
        <f>+IFERROR(HLOOKUP($B218,Resumen!$F$3:$AM$14,12),0)</f>
        <v>0</v>
      </c>
      <c r="G218" s="17">
        <f t="shared" si="60"/>
        <v>5.8207660913467407E-11</v>
      </c>
      <c r="H218" s="17">
        <f>IF(X218="",0,IF(F218=0,ROUND(SUM(J$2:J218)*X218,2),0))</f>
        <v>0</v>
      </c>
      <c r="I218" s="17">
        <f t="shared" si="46"/>
        <v>0</v>
      </c>
      <c r="J218" s="17">
        <f>(Resumen!$C$10*(1-Resumen!$C$24)*(1+Incmat)^5)*C218</f>
        <v>0</v>
      </c>
      <c r="K218" s="17">
        <f>+IF(F218=1,PMT(X218,(Resumen!$C$36+Resumen!$C$26+Resumen!$C$14*6-B218+1),-Amortizacion!G218),0)</f>
        <v>0</v>
      </c>
      <c r="L218" s="17">
        <f t="shared" si="48"/>
        <v>0</v>
      </c>
      <c r="M218" s="17">
        <f>+IF(Resumen!$C$20="no",H218,0)</f>
        <v>0</v>
      </c>
      <c r="N218" s="17">
        <f t="shared" si="49"/>
        <v>5.8207660913467407E-11</v>
      </c>
      <c r="O218" s="17">
        <f>+IF(AND(Resumen!$C$18="SI",Amortizacion!E218=1),SUM($H$2:J218)*25%,0)</f>
        <v>0</v>
      </c>
      <c r="P218" s="1">
        <f t="shared" si="57"/>
        <v>0</v>
      </c>
      <c r="Q218" s="17">
        <f t="shared" si="58"/>
        <v>0</v>
      </c>
      <c r="R218" s="17">
        <f t="shared" si="50"/>
        <v>0</v>
      </c>
      <c r="S218" s="17">
        <f>(Resumen!$C$10*(Resumen!$C$24)*(1+Incmat)^5)*$C218</f>
        <v>0</v>
      </c>
      <c r="T218" s="21">
        <f t="shared" si="51"/>
        <v>0</v>
      </c>
      <c r="U218" s="17">
        <f t="shared" si="52"/>
        <v>0</v>
      </c>
      <c r="V218" s="17">
        <f t="shared" si="53"/>
        <v>0</v>
      </c>
      <c r="W218" s="17">
        <f t="shared" si="59"/>
        <v>5.8207660913467407E-11</v>
      </c>
      <c r="X218" s="15" t="str">
        <f>+IF(B218="","",Resumen!$C$34)</f>
        <v/>
      </c>
      <c r="Y218" s="16">
        <f t="shared" si="47"/>
        <v>0</v>
      </c>
      <c r="Z218" s="20">
        <f t="shared" si="54"/>
        <v>0</v>
      </c>
      <c r="AA218" s="20">
        <f t="shared" si="55"/>
        <v>0</v>
      </c>
      <c r="AB218" s="20">
        <f>+IF(Resumen!$C$8="no",0,W218*((1+10%)^(0.0833333333333333)-1))</f>
        <v>0</v>
      </c>
    </row>
    <row r="219" spans="1:28" x14ac:dyDescent="0.35">
      <c r="A219">
        <f t="shared" si="61"/>
        <v>218</v>
      </c>
      <c r="B219" t="str">
        <f>+IF(A219&gt;Resumen!$C$40,"",A219)</f>
        <v/>
      </c>
      <c r="C219" s="1">
        <f>+IFERROR(HLOOKUP($B219,Resumen!$F$3:$AM$10,8,0),0)</f>
        <v>0</v>
      </c>
      <c r="D219" s="1">
        <f>+IFERROR(HLOOKUP($B219,Resumen!$F$3:$AM$12,10),0)</f>
        <v>0</v>
      </c>
      <c r="E219" s="1">
        <f>+IF(B219=Resumen!$C$38*6-6,1,0)</f>
        <v>0</v>
      </c>
      <c r="F219" s="1">
        <f>+IFERROR(HLOOKUP($B219,Resumen!$F$3:$AM$14,12),0)</f>
        <v>0</v>
      </c>
      <c r="G219" s="17">
        <f t="shared" si="60"/>
        <v>5.8207660913467407E-11</v>
      </c>
      <c r="H219" s="17">
        <f>IF(X219="",0,IF(F219=0,ROUND(SUM(J$2:J219)*X219,2),0))</f>
        <v>0</v>
      </c>
      <c r="I219" s="17">
        <f t="shared" si="46"/>
        <v>0</v>
      </c>
      <c r="J219" s="17">
        <f>(Resumen!$C$10*(1-Resumen!$C$24)*(1+Incmat)^5)*C219</f>
        <v>0</v>
      </c>
      <c r="K219" s="17">
        <f>+IF(F219=1,PMT(X219,(Resumen!$C$36+Resumen!$C$26+Resumen!$C$14*6-B219+1),-Amortizacion!G219),0)</f>
        <v>0</v>
      </c>
      <c r="L219" s="17">
        <f t="shared" si="48"/>
        <v>0</v>
      </c>
      <c r="M219" s="17">
        <f>+IF(Resumen!$C$20="no",H219,0)</f>
        <v>0</v>
      </c>
      <c r="N219" s="17">
        <f t="shared" si="49"/>
        <v>5.8207660913467407E-11</v>
      </c>
      <c r="O219" s="17">
        <f>+IF(AND(Resumen!$C$18="SI",Amortizacion!E219=1),SUM($H$2:J219)*25%,0)</f>
        <v>0</v>
      </c>
      <c r="P219" s="1">
        <f t="shared" si="57"/>
        <v>0</v>
      </c>
      <c r="Q219" s="17">
        <f t="shared" si="58"/>
        <v>0</v>
      </c>
      <c r="R219" s="17">
        <f t="shared" si="50"/>
        <v>0</v>
      </c>
      <c r="S219" s="17">
        <f>(Resumen!$C$10*(Resumen!$C$24)*(1+Incmat)^5)*$C219</f>
        <v>0</v>
      </c>
      <c r="T219" s="21">
        <f t="shared" si="51"/>
        <v>0</v>
      </c>
      <c r="U219" s="17">
        <f t="shared" si="52"/>
        <v>0</v>
      </c>
      <c r="V219" s="17">
        <f t="shared" si="53"/>
        <v>0</v>
      </c>
      <c r="W219" s="17">
        <f t="shared" si="59"/>
        <v>5.8207660913467407E-11</v>
      </c>
      <c r="X219" s="15" t="str">
        <f>+IF(B219="","",Resumen!$C$34)</f>
        <v/>
      </c>
      <c r="Y219" s="16">
        <f t="shared" si="47"/>
        <v>0</v>
      </c>
      <c r="Z219" s="20">
        <f t="shared" si="54"/>
        <v>0</v>
      </c>
      <c r="AA219" s="20">
        <f t="shared" si="55"/>
        <v>0</v>
      </c>
      <c r="AB219" s="20">
        <f>+IF(Resumen!$C$8="no",0,W219*((1+10%)^(0.0833333333333333)-1))</f>
        <v>0</v>
      </c>
    </row>
    <row r="220" spans="1:28" x14ac:dyDescent="0.35">
      <c r="A220">
        <f t="shared" si="61"/>
        <v>219</v>
      </c>
      <c r="B220" t="str">
        <f>+IF(A220&gt;Resumen!$C$40,"",A220)</f>
        <v/>
      </c>
      <c r="C220" s="1">
        <f>+IFERROR(HLOOKUP($B220,Resumen!$F$3:$AM$10,8,0),0)</f>
        <v>0</v>
      </c>
      <c r="D220" s="1">
        <f>+IFERROR(HLOOKUP($B220,Resumen!$F$3:$AM$12,10),0)</f>
        <v>0</v>
      </c>
      <c r="E220" s="1">
        <f>+IF(B220=Resumen!$C$38*6-6,1,0)</f>
        <v>0</v>
      </c>
      <c r="F220" s="1">
        <f>+IFERROR(HLOOKUP($B220,Resumen!$F$3:$AM$14,12),0)</f>
        <v>0</v>
      </c>
      <c r="G220" s="17">
        <f t="shared" si="60"/>
        <v>5.8207660913467407E-11</v>
      </c>
      <c r="H220" s="17">
        <f>IF(X220="",0,IF(F220=0,ROUND(SUM(J$2:J220)*X220,2),0))</f>
        <v>0</v>
      </c>
      <c r="I220" s="17">
        <f t="shared" si="46"/>
        <v>0</v>
      </c>
      <c r="J220" s="17">
        <f>(Resumen!$C$10*(1-Resumen!$C$24)*(1+Incmat)^5)*C220</f>
        <v>0</v>
      </c>
      <c r="K220" s="17">
        <f>+IF(F220=1,PMT(X220,(Resumen!$C$36+Resumen!$C$26+Resumen!$C$14*6-B220+1),-Amortizacion!G220),0)</f>
        <v>0</v>
      </c>
      <c r="L220" s="17">
        <f t="shared" si="48"/>
        <v>0</v>
      </c>
      <c r="M220" s="17">
        <f>+IF(Resumen!$C$20="no",H220,0)</f>
        <v>0</v>
      </c>
      <c r="N220" s="17">
        <f t="shared" si="49"/>
        <v>5.8207660913467407E-11</v>
      </c>
      <c r="O220" s="17">
        <f>+IF(AND(Resumen!$C$18="SI",Amortizacion!E220=1),SUM($H$2:J220)*25%,0)</f>
        <v>0</v>
      </c>
      <c r="P220" s="1">
        <f t="shared" si="57"/>
        <v>0</v>
      </c>
      <c r="Q220" s="17">
        <f t="shared" si="58"/>
        <v>0</v>
      </c>
      <c r="R220" s="17">
        <f t="shared" si="50"/>
        <v>0</v>
      </c>
      <c r="S220" s="17">
        <f>(Resumen!$C$10*(Resumen!$C$24)*(1+Incmat)^5)*$C220</f>
        <v>0</v>
      </c>
      <c r="T220" s="21">
        <f t="shared" si="51"/>
        <v>0</v>
      </c>
      <c r="U220" s="17">
        <f t="shared" si="52"/>
        <v>0</v>
      </c>
      <c r="V220" s="17">
        <f t="shared" si="53"/>
        <v>0</v>
      </c>
      <c r="W220" s="17">
        <f t="shared" si="59"/>
        <v>5.8207660913467407E-11</v>
      </c>
      <c r="X220" s="15" t="str">
        <f>+IF(B220="","",Resumen!$C$34)</f>
        <v/>
      </c>
      <c r="Y220" s="16">
        <f t="shared" si="47"/>
        <v>0</v>
      </c>
      <c r="Z220" s="20">
        <f t="shared" si="54"/>
        <v>0</v>
      </c>
      <c r="AA220" s="20">
        <f t="shared" si="55"/>
        <v>0</v>
      </c>
      <c r="AB220" s="20">
        <f>+IF(Resumen!$C$8="no",0,W220*((1+10%)^(0.0833333333333333)-1))</f>
        <v>0</v>
      </c>
    </row>
    <row r="221" spans="1:28" x14ac:dyDescent="0.35">
      <c r="A221">
        <f t="shared" si="61"/>
        <v>220</v>
      </c>
      <c r="B221" t="str">
        <f>+IF(A221&gt;Resumen!$C$40,"",A221)</f>
        <v/>
      </c>
      <c r="C221" s="1">
        <f>+IFERROR(HLOOKUP($B221,Resumen!$F$3:$AM$10,8,0),0)</f>
        <v>0</v>
      </c>
      <c r="D221" s="1">
        <f>+IFERROR(HLOOKUP($B221,Resumen!$F$3:$AM$12,10),0)</f>
        <v>0</v>
      </c>
      <c r="E221" s="1">
        <f>+IF(B221=Resumen!$C$38*6-6,1,0)</f>
        <v>0</v>
      </c>
      <c r="F221" s="1">
        <f>+IFERROR(HLOOKUP($B221,Resumen!$F$3:$AM$14,12),0)</f>
        <v>0</v>
      </c>
      <c r="G221" s="17">
        <f t="shared" si="60"/>
        <v>5.8207660913467407E-11</v>
      </c>
      <c r="H221" s="17">
        <f>IF(X221="",0,IF(F221=0,ROUND(SUM(J$2:J221)*X221,2),0))</f>
        <v>0</v>
      </c>
      <c r="I221" s="17">
        <f t="shared" si="46"/>
        <v>0</v>
      </c>
      <c r="J221" s="17">
        <f>(Resumen!$C$10*(1-Resumen!$C$24)*(1+Incmat)^5)*C221</f>
        <v>0</v>
      </c>
      <c r="K221" s="17">
        <f>+IF(F221=1,PMT(X221,(Resumen!$C$36+Resumen!$C$26+Resumen!$C$14*6-B221+1),-Amortizacion!G221),0)</f>
        <v>0</v>
      </c>
      <c r="L221" s="17">
        <f t="shared" si="48"/>
        <v>0</v>
      </c>
      <c r="M221" s="17">
        <f>+IF(Resumen!$C$20="no",H221,0)</f>
        <v>0</v>
      </c>
      <c r="N221" s="17">
        <f t="shared" si="49"/>
        <v>5.8207660913467407E-11</v>
      </c>
      <c r="O221" s="17">
        <f>+IF(AND(Resumen!$C$18="SI",Amortizacion!E221=1),SUM($H$2:J221)*25%,0)</f>
        <v>0</v>
      </c>
      <c r="P221" s="1">
        <f t="shared" si="57"/>
        <v>0</v>
      </c>
      <c r="Q221" s="17">
        <f t="shared" si="58"/>
        <v>0</v>
      </c>
      <c r="R221" s="17">
        <f t="shared" si="50"/>
        <v>0</v>
      </c>
      <c r="S221" s="17">
        <f>(Resumen!$C$10*(Resumen!$C$24)*(1+Incmat)^5)*$C221</f>
        <v>0</v>
      </c>
      <c r="T221" s="21">
        <f t="shared" si="51"/>
        <v>0</v>
      </c>
      <c r="U221" s="17">
        <f t="shared" si="52"/>
        <v>0</v>
      </c>
      <c r="V221" s="17">
        <f t="shared" si="53"/>
        <v>0</v>
      </c>
      <c r="W221" s="17">
        <f t="shared" si="59"/>
        <v>5.8207660913467407E-11</v>
      </c>
      <c r="X221" s="15" t="str">
        <f>+IF(B221="","",Resumen!$C$34)</f>
        <v/>
      </c>
      <c r="Y221" s="16">
        <f t="shared" si="47"/>
        <v>0</v>
      </c>
      <c r="Z221" s="20">
        <f t="shared" si="54"/>
        <v>0</v>
      </c>
      <c r="AA221" s="20">
        <f t="shared" si="55"/>
        <v>0</v>
      </c>
      <c r="AB221" s="20">
        <f>+IF(Resumen!$C$8="no",0,W221*((1+10%)^(0.0833333333333333)-1))</f>
        <v>0</v>
      </c>
    </row>
    <row r="222" spans="1:28" x14ac:dyDescent="0.35">
      <c r="A222">
        <f t="shared" si="61"/>
        <v>221</v>
      </c>
      <c r="B222" t="str">
        <f>+IF(A222&gt;Resumen!$C$40,"",A222)</f>
        <v/>
      </c>
      <c r="C222" s="1">
        <f>+IFERROR(HLOOKUP($B222,Resumen!$F$3:$AM$10,8,0),0)</f>
        <v>0</v>
      </c>
      <c r="D222" s="1">
        <f>+IFERROR(HLOOKUP($B222,Resumen!$F$3:$AM$12,10),0)</f>
        <v>0</v>
      </c>
      <c r="E222" s="1">
        <f>+IF(B222=Resumen!$C$38*6-6,1,0)</f>
        <v>0</v>
      </c>
      <c r="F222" s="1">
        <f>+IFERROR(HLOOKUP($B222,Resumen!$F$3:$AM$14,12),0)</f>
        <v>0</v>
      </c>
      <c r="G222" s="17">
        <f t="shared" si="60"/>
        <v>5.8207660913467407E-11</v>
      </c>
      <c r="H222" s="17">
        <f>IF(X222="",0,IF(F222=0,ROUND(SUM(J$2:J222)*X222,2),0))</f>
        <v>0</v>
      </c>
      <c r="I222" s="17">
        <f t="shared" si="46"/>
        <v>0</v>
      </c>
      <c r="J222" s="17">
        <f>(Resumen!$C$10*(1-Resumen!$C$24)*(1+Incmat)^5)*C222</f>
        <v>0</v>
      </c>
      <c r="K222" s="17">
        <f>+IF(F222=1,PMT(X222,(Resumen!$C$36+Resumen!$C$26+Resumen!$C$14*6-B222+1),-Amortizacion!G222),0)</f>
        <v>0</v>
      </c>
      <c r="L222" s="17">
        <f t="shared" si="48"/>
        <v>0</v>
      </c>
      <c r="M222" s="17">
        <f>+IF(Resumen!$C$20="no",H222,0)</f>
        <v>0</v>
      </c>
      <c r="N222" s="17">
        <f t="shared" si="49"/>
        <v>5.8207660913467407E-11</v>
      </c>
      <c r="O222" s="17">
        <f>+IF(AND(Resumen!$C$18="SI",Amortizacion!E222=1),SUM($H$2:J222)*25%,0)</f>
        <v>0</v>
      </c>
      <c r="P222" s="1">
        <f t="shared" si="57"/>
        <v>0</v>
      </c>
      <c r="Q222" s="17">
        <f t="shared" si="58"/>
        <v>0</v>
      </c>
      <c r="R222" s="17">
        <f t="shared" si="50"/>
        <v>0</v>
      </c>
      <c r="S222" s="17">
        <f>(Resumen!$C$10*(Resumen!$C$24)*(1+Incmat)^5)*$C222</f>
        <v>0</v>
      </c>
      <c r="T222" s="21">
        <f t="shared" si="51"/>
        <v>0</v>
      </c>
      <c r="U222" s="17">
        <f t="shared" si="52"/>
        <v>0</v>
      </c>
      <c r="V222" s="17">
        <f t="shared" si="53"/>
        <v>0</v>
      </c>
      <c r="W222" s="17">
        <f t="shared" si="59"/>
        <v>5.8207660913467407E-11</v>
      </c>
      <c r="X222" s="15" t="str">
        <f>+IF(B222="","",Resumen!$C$34)</f>
        <v/>
      </c>
      <c r="Y222" s="16">
        <f t="shared" si="47"/>
        <v>0</v>
      </c>
      <c r="Z222" s="20">
        <f t="shared" si="54"/>
        <v>0</v>
      </c>
      <c r="AA222" s="20">
        <f t="shared" si="55"/>
        <v>0</v>
      </c>
      <c r="AB222" s="20">
        <f>+IF(Resumen!$C$8="no",0,W222*((1+10%)^(0.0833333333333333)-1))</f>
        <v>0</v>
      </c>
    </row>
    <row r="223" spans="1:28" x14ac:dyDescent="0.35">
      <c r="A223">
        <f t="shared" si="61"/>
        <v>222</v>
      </c>
      <c r="B223" t="str">
        <f>+IF(A223&gt;Resumen!$C$40,"",A223)</f>
        <v/>
      </c>
      <c r="C223" s="1">
        <f>+IFERROR(HLOOKUP($B223,Resumen!$F$3:$AM$10,8,0),0)</f>
        <v>0</v>
      </c>
      <c r="D223" s="1">
        <f>+IFERROR(HLOOKUP($B223,Resumen!$F$3:$AM$12,10),0)</f>
        <v>0</v>
      </c>
      <c r="E223" s="1">
        <f>+IF(B223=Resumen!$C$38*6-6,1,0)</f>
        <v>0</v>
      </c>
      <c r="F223" s="1">
        <f>+IFERROR(HLOOKUP($B223,Resumen!$F$3:$AM$14,12),0)</f>
        <v>0</v>
      </c>
      <c r="G223" s="17">
        <f t="shared" si="60"/>
        <v>5.8207660913467407E-11</v>
      </c>
      <c r="H223" s="17">
        <f>IF(X223="",0,IF(F223=0,ROUND(SUM(J$2:J223)*X223,2),0))</f>
        <v>0</v>
      </c>
      <c r="I223" s="17">
        <f t="shared" si="46"/>
        <v>0</v>
      </c>
      <c r="J223" s="17">
        <f>(Resumen!$C$10*(1-Resumen!$C$24)*(1+Incmat)^5)*C223</f>
        <v>0</v>
      </c>
      <c r="K223" s="17">
        <f>+IF(F223=1,PMT(X223,(Resumen!$C$36+Resumen!$C$26+Resumen!$C$14*6-B223+1),-Amortizacion!G223),0)</f>
        <v>0</v>
      </c>
      <c r="L223" s="17">
        <f t="shared" si="48"/>
        <v>0</v>
      </c>
      <c r="M223" s="17">
        <f>+IF(Resumen!$C$20="no",H223,0)</f>
        <v>0</v>
      </c>
      <c r="N223" s="17">
        <f t="shared" si="49"/>
        <v>5.8207660913467407E-11</v>
      </c>
      <c r="O223" s="17">
        <f>+IF(AND(Resumen!$C$18="SI",Amortizacion!E223=1),SUM($H$2:J223)*25%,0)</f>
        <v>0</v>
      </c>
      <c r="P223" s="1">
        <f t="shared" si="57"/>
        <v>0</v>
      </c>
      <c r="Q223" s="17">
        <f t="shared" si="58"/>
        <v>0</v>
      </c>
      <c r="R223" s="17">
        <f t="shared" si="50"/>
        <v>0</v>
      </c>
      <c r="S223" s="17">
        <f>(Resumen!$C$10*(Resumen!$C$24)*(1+Incmat)^5)*$C223</f>
        <v>0</v>
      </c>
      <c r="T223" s="21">
        <f t="shared" si="51"/>
        <v>0</v>
      </c>
      <c r="U223" s="17">
        <f t="shared" si="52"/>
        <v>0</v>
      </c>
      <c r="V223" s="17">
        <f t="shared" si="53"/>
        <v>0</v>
      </c>
      <c r="W223" s="17">
        <f t="shared" si="59"/>
        <v>5.8207660913467407E-11</v>
      </c>
      <c r="X223" s="15" t="str">
        <f>+IF(B223="","",Resumen!$C$34)</f>
        <v/>
      </c>
      <c r="Y223" s="16">
        <f t="shared" si="47"/>
        <v>0</v>
      </c>
      <c r="Z223" s="20">
        <f t="shared" si="54"/>
        <v>0</v>
      </c>
      <c r="AA223" s="20">
        <f t="shared" si="55"/>
        <v>0</v>
      </c>
      <c r="AB223" s="20">
        <f>+IF(Resumen!$C$8="no",0,W223*((1+10%)^(0.0833333333333333)-1))</f>
        <v>0</v>
      </c>
    </row>
    <row r="224" spans="1:28" x14ac:dyDescent="0.35">
      <c r="A224">
        <f t="shared" si="61"/>
        <v>223</v>
      </c>
      <c r="B224" t="str">
        <f>+IF(A224&gt;Resumen!$C$40,"",A224)</f>
        <v/>
      </c>
      <c r="C224" s="1">
        <f>+IFERROR(HLOOKUP($B224,Resumen!$F$3:$AM$10,8,0),0)</f>
        <v>0</v>
      </c>
      <c r="D224" s="1">
        <f>+IFERROR(HLOOKUP($B224,Resumen!$F$3:$AM$12,10),0)</f>
        <v>0</v>
      </c>
      <c r="E224" s="1">
        <f>+IF(B224=Resumen!$C$38*6-6,1,0)</f>
        <v>0</v>
      </c>
      <c r="F224" s="1">
        <f>+IFERROR(HLOOKUP($B224,Resumen!$F$3:$AM$14,12),0)</f>
        <v>0</v>
      </c>
      <c r="G224" s="17">
        <f t="shared" si="60"/>
        <v>5.8207660913467407E-11</v>
      </c>
      <c r="H224" s="17">
        <f>IF(X224="",0,IF(F224=0,ROUND(SUM(J$2:J224)*X224,2),0))</f>
        <v>0</v>
      </c>
      <c r="I224" s="17">
        <f t="shared" si="46"/>
        <v>0</v>
      </c>
      <c r="J224" s="17">
        <f>(Resumen!$C$10*(1-Resumen!$C$24)*(1+Incmat)^5)*C224</f>
        <v>0</v>
      </c>
      <c r="K224" s="17">
        <f>+IF(F224=1,PMT(X224,(Resumen!$C$36+Resumen!$C$26+Resumen!$C$14*6-B224+1),-Amortizacion!G224),0)</f>
        <v>0</v>
      </c>
      <c r="L224" s="17">
        <f t="shared" si="48"/>
        <v>0</v>
      </c>
      <c r="M224" s="17">
        <f>+IF(Resumen!$C$20="no",H224,0)</f>
        <v>0</v>
      </c>
      <c r="N224" s="17">
        <f t="shared" si="49"/>
        <v>5.8207660913467407E-11</v>
      </c>
      <c r="O224" s="17">
        <f>+IF(AND(Resumen!$C$18="SI",Amortizacion!E224=1),SUM($H$2:J224)*25%,0)</f>
        <v>0</v>
      </c>
      <c r="P224" s="1">
        <f t="shared" si="57"/>
        <v>0</v>
      </c>
      <c r="Q224" s="17">
        <f t="shared" si="58"/>
        <v>0</v>
      </c>
      <c r="R224" s="17">
        <f t="shared" si="50"/>
        <v>0</v>
      </c>
      <c r="S224" s="17">
        <f>(Resumen!$C$10*(Resumen!$C$24)*(1+Incmat)^5)*$C224</f>
        <v>0</v>
      </c>
      <c r="T224" s="21">
        <f t="shared" si="51"/>
        <v>0</v>
      </c>
      <c r="U224" s="17">
        <f t="shared" si="52"/>
        <v>0</v>
      </c>
      <c r="V224" s="17">
        <f t="shared" si="53"/>
        <v>0</v>
      </c>
      <c r="W224" s="17">
        <f t="shared" si="59"/>
        <v>5.8207660913467407E-11</v>
      </c>
      <c r="X224" s="15" t="str">
        <f>+IF(B224="","",Resumen!$C$34)</f>
        <v/>
      </c>
      <c r="Y224" s="16">
        <f t="shared" si="47"/>
        <v>0</v>
      </c>
      <c r="Z224" s="20">
        <f t="shared" si="54"/>
        <v>0</v>
      </c>
      <c r="AA224" s="20">
        <f t="shared" si="55"/>
        <v>0</v>
      </c>
      <c r="AB224" s="20">
        <f>+IF(Resumen!$C$8="no",0,W224*((1+10%)^(0.0833333333333333)-1))</f>
        <v>0</v>
      </c>
    </row>
    <row r="225" spans="1:28" x14ac:dyDescent="0.35">
      <c r="A225">
        <f t="shared" ref="A225:A230" si="62">+A224+1</f>
        <v>224</v>
      </c>
      <c r="B225" t="str">
        <f>+IF(A225&gt;Resumen!$C$40,"",A225)</f>
        <v/>
      </c>
      <c r="C225" s="1">
        <f>+IFERROR(HLOOKUP($B225,Resumen!$F$3:$AM$10,8,0),0)</f>
        <v>0</v>
      </c>
      <c r="D225" s="1">
        <f>+IFERROR(HLOOKUP($B225,Resumen!$F$3:$AM$12,10),0)</f>
        <v>0</v>
      </c>
      <c r="E225" s="1">
        <f>+IF(B225=Resumen!$C$38*6-6,1,0)</f>
        <v>0</v>
      </c>
      <c r="F225" s="1">
        <f>+IFERROR(HLOOKUP($B225,Resumen!$F$3:$AM$14,12),0)</f>
        <v>0</v>
      </c>
      <c r="G225" s="17">
        <f t="shared" si="60"/>
        <v>5.8207660913467407E-11</v>
      </c>
      <c r="H225" s="17">
        <f>IF(X225="",0,IF(F225=0,ROUND(SUM(J$2:J225)*X225,2),0))</f>
        <v>0</v>
      </c>
      <c r="I225" s="17">
        <f t="shared" si="46"/>
        <v>0</v>
      </c>
      <c r="J225" s="17">
        <f>(Resumen!$C$10*(1-Resumen!$C$24)*(1+Incmat)^5)*C225</f>
        <v>0</v>
      </c>
      <c r="K225" s="17">
        <f>+IF(F225=1,PMT(X225,(Resumen!$C$36+Resumen!$C$26+Resumen!$C$14*6-B225+1),-Amortizacion!G225),0)</f>
        <v>0</v>
      </c>
      <c r="L225" s="17">
        <f t="shared" si="48"/>
        <v>0</v>
      </c>
      <c r="M225" s="17">
        <f>+IF(Resumen!$C$20="no",H225,0)</f>
        <v>0</v>
      </c>
      <c r="N225" s="17">
        <f t="shared" si="49"/>
        <v>5.8207660913467407E-11</v>
      </c>
      <c r="O225" s="17">
        <f>+IF(AND(Resumen!$C$18="SI",Amortizacion!E225=1),SUM($H$2:J225)*25%,0)</f>
        <v>0</v>
      </c>
      <c r="P225" s="1">
        <f t="shared" si="57"/>
        <v>0</v>
      </c>
      <c r="Q225" s="17">
        <f t="shared" si="58"/>
        <v>0</v>
      </c>
      <c r="R225" s="17">
        <f t="shared" si="50"/>
        <v>0</v>
      </c>
      <c r="S225" s="17">
        <f>(Resumen!$C$10*(Resumen!$C$24)*(1+Incmat)^5)*$C225</f>
        <v>0</v>
      </c>
      <c r="T225" s="21">
        <f t="shared" si="51"/>
        <v>0</v>
      </c>
      <c r="U225" s="17">
        <f t="shared" si="52"/>
        <v>0</v>
      </c>
      <c r="V225" s="17">
        <f t="shared" si="53"/>
        <v>0</v>
      </c>
      <c r="W225" s="17">
        <f t="shared" si="59"/>
        <v>5.8207660913467407E-11</v>
      </c>
      <c r="X225" s="15" t="str">
        <f>+IF(B225="","",Resumen!$C$34)</f>
        <v/>
      </c>
      <c r="Y225" s="16">
        <f t="shared" si="47"/>
        <v>0</v>
      </c>
      <c r="Z225" s="20">
        <f t="shared" si="54"/>
        <v>0</v>
      </c>
      <c r="AA225" s="20">
        <f t="shared" si="55"/>
        <v>0</v>
      </c>
      <c r="AB225" s="20">
        <f>+IF(Resumen!$C$8="no",0,W225*((1+10%)^(0.0833333333333333)-1))</f>
        <v>0</v>
      </c>
    </row>
    <row r="226" spans="1:28" x14ac:dyDescent="0.35">
      <c r="A226">
        <f t="shared" si="62"/>
        <v>225</v>
      </c>
      <c r="B226" t="str">
        <f>+IF(A226&gt;Resumen!$C$40,"",A226)</f>
        <v/>
      </c>
      <c r="C226" s="1">
        <f>+IFERROR(HLOOKUP($B226,Resumen!$F$3:$AM$10,8,0),0)</f>
        <v>0</v>
      </c>
      <c r="D226" s="1">
        <f>+IFERROR(HLOOKUP($B226,Resumen!$F$3:$AM$12,10),0)</f>
        <v>0</v>
      </c>
      <c r="E226" s="1">
        <f>+IF(B226=Resumen!$C$38*6-6,1,0)</f>
        <v>0</v>
      </c>
      <c r="F226" s="1">
        <f>+IFERROR(HLOOKUP($B226,Resumen!$F$3:$AM$14,12),0)</f>
        <v>0</v>
      </c>
      <c r="G226" s="17">
        <f t="shared" si="60"/>
        <v>5.8207660913467407E-11</v>
      </c>
      <c r="H226" s="17">
        <f>IF(X226="",0,IF(F226=0,ROUND(SUM(J$2:J226)*X226,2),0))</f>
        <v>0</v>
      </c>
      <c r="I226" s="17">
        <f t="shared" si="46"/>
        <v>0</v>
      </c>
      <c r="J226" s="17">
        <f>(Resumen!$C$10*(1-Resumen!$C$24)*(1+Incmat)^5)*C226</f>
        <v>0</v>
      </c>
      <c r="K226" s="17">
        <f>+IF(F226=1,PMT(X226,(Resumen!$C$36+Resumen!$C$26+Resumen!$C$14*6-B226+1),-Amortizacion!G226),0)</f>
        <v>0</v>
      </c>
      <c r="L226" s="17">
        <f t="shared" si="48"/>
        <v>0</v>
      </c>
      <c r="M226" s="17">
        <f>+IF(Resumen!$C$20="no",H226,0)</f>
        <v>0</v>
      </c>
      <c r="N226" s="17">
        <f t="shared" si="49"/>
        <v>5.8207660913467407E-11</v>
      </c>
      <c r="O226" s="17">
        <f>+IF(AND(Resumen!$C$18="SI",Amortizacion!E226=1),SUM($H$2:J226)*25%,0)</f>
        <v>0</v>
      </c>
      <c r="P226" s="1">
        <f t="shared" si="57"/>
        <v>0</v>
      </c>
      <c r="Q226" s="17">
        <f t="shared" si="58"/>
        <v>0</v>
      </c>
      <c r="R226" s="17">
        <f t="shared" si="50"/>
        <v>0</v>
      </c>
      <c r="S226" s="17">
        <f>(Resumen!$C$10*(Resumen!$C$24)*(1+Incmat)^5)*$C226</f>
        <v>0</v>
      </c>
      <c r="T226" s="21">
        <f t="shared" si="51"/>
        <v>0</v>
      </c>
      <c r="U226" s="17">
        <f t="shared" si="52"/>
        <v>0</v>
      </c>
      <c r="V226" s="17">
        <f t="shared" si="53"/>
        <v>0</v>
      </c>
      <c r="W226" s="17">
        <f t="shared" si="59"/>
        <v>5.8207660913467407E-11</v>
      </c>
      <c r="X226" s="15" t="str">
        <f>+IF(B226="","",Resumen!$C$34)</f>
        <v/>
      </c>
      <c r="Y226" s="16">
        <f t="shared" si="47"/>
        <v>0</v>
      </c>
      <c r="Z226" s="20">
        <f t="shared" si="54"/>
        <v>0</v>
      </c>
      <c r="AA226" s="20">
        <f t="shared" si="55"/>
        <v>0</v>
      </c>
      <c r="AB226" s="20">
        <f>+IF(Resumen!$C$8="no",0,W226*((1+10%)^(0.0833333333333333)-1))</f>
        <v>0</v>
      </c>
    </row>
    <row r="227" spans="1:28" x14ac:dyDescent="0.35">
      <c r="A227">
        <f t="shared" si="62"/>
        <v>226</v>
      </c>
      <c r="B227" t="str">
        <f>+IF(A227&gt;Resumen!$C$40,"",A227)</f>
        <v/>
      </c>
      <c r="C227" s="1">
        <f>+IFERROR(HLOOKUP($B227,Resumen!$F$3:$AM$10,8,0),0)</f>
        <v>0</v>
      </c>
      <c r="D227" s="1">
        <f>+IFERROR(HLOOKUP($B227,Resumen!$F$3:$AM$12,10),0)</f>
        <v>0</v>
      </c>
      <c r="E227" s="1">
        <f>+IF(B227=Resumen!$C$38*6-6,1,0)</f>
        <v>0</v>
      </c>
      <c r="F227" s="1">
        <f>+IFERROR(HLOOKUP($B227,Resumen!$F$3:$AM$14,12),0)</f>
        <v>0</v>
      </c>
      <c r="G227" s="17">
        <f t="shared" si="60"/>
        <v>5.8207660913467407E-11</v>
      </c>
      <c r="H227" s="17">
        <f>IF(X227="",0,IF(F227=0,ROUND(SUM(J$2:J227)*X227,2),0))</f>
        <v>0</v>
      </c>
      <c r="I227" s="17">
        <f t="shared" si="46"/>
        <v>0</v>
      </c>
      <c r="J227" s="17">
        <f>(Resumen!$C$10*(1-Resumen!$C$24)*(1+Incmat)^5)*C227</f>
        <v>0</v>
      </c>
      <c r="K227" s="17">
        <f>+IF(F227=1,PMT(X227,(Resumen!$C$36+Resumen!$C$26+Resumen!$C$14*6-B227+1),-Amortizacion!G227),0)</f>
        <v>0</v>
      </c>
      <c r="L227" s="17">
        <f t="shared" si="48"/>
        <v>0</v>
      </c>
      <c r="M227" s="17">
        <f>+IF(Resumen!$C$20="no",H227,0)</f>
        <v>0</v>
      </c>
      <c r="N227" s="17">
        <f t="shared" si="49"/>
        <v>5.8207660913467407E-11</v>
      </c>
      <c r="O227" s="17">
        <f>+IF(AND(Resumen!$C$18="SI",Amortizacion!E227=1),SUM($H$2:J227)*25%,0)</f>
        <v>0</v>
      </c>
      <c r="P227" s="1">
        <f t="shared" si="57"/>
        <v>0</v>
      </c>
      <c r="Q227" s="17">
        <f t="shared" si="58"/>
        <v>0</v>
      </c>
      <c r="R227" s="17">
        <f t="shared" si="50"/>
        <v>0</v>
      </c>
      <c r="S227" s="17">
        <f>(Resumen!$C$10*(Resumen!$C$24)*(1+Incmat)^5)*$C227</f>
        <v>0</v>
      </c>
      <c r="T227" s="21">
        <f t="shared" si="51"/>
        <v>0</v>
      </c>
      <c r="U227" s="17">
        <f t="shared" si="52"/>
        <v>0</v>
      </c>
      <c r="V227" s="17">
        <f t="shared" si="53"/>
        <v>0</v>
      </c>
      <c r="W227" s="17">
        <f t="shared" si="59"/>
        <v>5.8207660913467407E-11</v>
      </c>
      <c r="X227" s="15" t="str">
        <f>+IF(B227="","",Resumen!$C$34)</f>
        <v/>
      </c>
      <c r="Y227" s="16">
        <f t="shared" si="47"/>
        <v>0</v>
      </c>
      <c r="Z227" s="20">
        <f t="shared" si="54"/>
        <v>0</v>
      </c>
      <c r="AA227" s="20">
        <f t="shared" si="55"/>
        <v>0</v>
      </c>
      <c r="AB227" s="20">
        <f>+IF(Resumen!$C$8="no",0,W227*((1+10%)^(0.0833333333333333)-1))</f>
        <v>0</v>
      </c>
    </row>
    <row r="228" spans="1:28" x14ac:dyDescent="0.35">
      <c r="A228">
        <f t="shared" si="62"/>
        <v>227</v>
      </c>
      <c r="B228" t="str">
        <f>+IF(A228&gt;Resumen!$C$40,"",A228)</f>
        <v/>
      </c>
      <c r="C228" s="1">
        <f>+IFERROR(HLOOKUP($B228,Resumen!$F$3:$AM$10,8,0),0)</f>
        <v>0</v>
      </c>
      <c r="D228" s="1">
        <f>+IFERROR(HLOOKUP($B228,Resumen!$F$3:$AM$12,10),0)</f>
        <v>0</v>
      </c>
      <c r="E228" s="1">
        <f>+IF(B228=Resumen!$C$38*6-6,1,0)</f>
        <v>0</v>
      </c>
      <c r="F228" s="1">
        <f>+IFERROR(HLOOKUP($B228,Resumen!$F$3:$AM$14,12),0)</f>
        <v>0</v>
      </c>
      <c r="G228" s="17">
        <f t="shared" si="60"/>
        <v>5.8207660913467407E-11</v>
      </c>
      <c r="H228" s="17">
        <f>IF(X228="",0,IF(F228=0,ROUND(SUM(J$2:J228)*X228,2),0))</f>
        <v>0</v>
      </c>
      <c r="I228" s="17">
        <f t="shared" si="46"/>
        <v>0</v>
      </c>
      <c r="J228" s="17">
        <f>(Resumen!$C$10*(1-Resumen!$C$24)*(1+Incmat)^5)*C228</f>
        <v>0</v>
      </c>
      <c r="K228" s="17">
        <f>+IF(F228=1,PMT(X228,(Resumen!$C$36+Resumen!$C$26+Resumen!$C$14*6-B228+1),-Amortizacion!G228),0)</f>
        <v>0</v>
      </c>
      <c r="L228" s="17">
        <f t="shared" si="48"/>
        <v>0</v>
      </c>
      <c r="M228" s="17">
        <f>+IF(Resumen!$C$20="no",H228,0)</f>
        <v>0</v>
      </c>
      <c r="N228" s="17">
        <f t="shared" si="49"/>
        <v>5.8207660913467407E-11</v>
      </c>
      <c r="O228" s="17">
        <f>+IF(AND(Resumen!$C$18="SI",Amortizacion!E228=1),SUM($H$2:J228)*25%,0)</f>
        <v>0</v>
      </c>
      <c r="P228" s="1">
        <f t="shared" si="57"/>
        <v>0</v>
      </c>
      <c r="Q228" s="17">
        <f t="shared" si="58"/>
        <v>0</v>
      </c>
      <c r="R228" s="17">
        <f t="shared" si="50"/>
        <v>0</v>
      </c>
      <c r="S228" s="17">
        <f>(Resumen!$C$10*(Resumen!$C$24)*(1+Incmat)^5)*$C228</f>
        <v>0</v>
      </c>
      <c r="T228" s="21">
        <f t="shared" si="51"/>
        <v>0</v>
      </c>
      <c r="U228" s="17">
        <f t="shared" si="52"/>
        <v>0</v>
      </c>
      <c r="V228" s="17">
        <f t="shared" si="53"/>
        <v>0</v>
      </c>
      <c r="W228" s="17">
        <f t="shared" si="59"/>
        <v>5.8207660913467407E-11</v>
      </c>
      <c r="X228" s="15" t="str">
        <f>+IF(B228="","",Resumen!$C$34)</f>
        <v/>
      </c>
      <c r="Y228" s="16">
        <f t="shared" si="47"/>
        <v>0</v>
      </c>
      <c r="Z228" s="20">
        <f t="shared" si="54"/>
        <v>0</v>
      </c>
      <c r="AA228" s="20">
        <f t="shared" si="55"/>
        <v>0</v>
      </c>
      <c r="AB228" s="20">
        <f>+IF(Resumen!$C$8="no",0,W228*((1+10%)^(0.0833333333333333)-1))</f>
        <v>0</v>
      </c>
    </row>
    <row r="229" spans="1:28" x14ac:dyDescent="0.35">
      <c r="A229">
        <f t="shared" si="62"/>
        <v>228</v>
      </c>
      <c r="B229" t="str">
        <f>+IF(A229&gt;Resumen!$C$40,"",A229)</f>
        <v/>
      </c>
      <c r="C229" s="1">
        <f>+IFERROR(HLOOKUP($B229,Resumen!$F$3:$AM$10,8,0),0)</f>
        <v>0</v>
      </c>
      <c r="D229" s="1">
        <f>+IFERROR(HLOOKUP($B229,Resumen!$F$3:$AM$12,10),0)</f>
        <v>0</v>
      </c>
      <c r="E229" s="1">
        <f>+IF(B229=Resumen!$C$38*6-6,1,0)</f>
        <v>0</v>
      </c>
      <c r="F229" s="1">
        <f>+IFERROR(HLOOKUP($B229,Resumen!$F$3:$AM$14,12),0)</f>
        <v>0</v>
      </c>
      <c r="G229" s="17">
        <f t="shared" si="60"/>
        <v>5.8207660913467407E-11</v>
      </c>
      <c r="H229" s="17">
        <f>IF(X229="",0,IF(F229=0,ROUND(SUM(J$2:J229)*X229,2),0))</f>
        <v>0</v>
      </c>
      <c r="I229" s="17">
        <f t="shared" si="46"/>
        <v>0</v>
      </c>
      <c r="J229" s="17">
        <f>(Resumen!$C$10*(1-Resumen!$C$24)*(1+Incmat)^5)*C229</f>
        <v>0</v>
      </c>
      <c r="K229" s="17">
        <f>+IF(F229=1,PMT(X229,(Resumen!$C$36+Resumen!$C$26+Resumen!$C$14*6-B229+1),-Amortizacion!G229),0)</f>
        <v>0</v>
      </c>
      <c r="L229" s="17">
        <f t="shared" si="48"/>
        <v>0</v>
      </c>
      <c r="M229" s="17">
        <f>+IF(Resumen!$C$20="no",H229,0)</f>
        <v>0</v>
      </c>
      <c r="N229" s="17">
        <f t="shared" si="49"/>
        <v>5.8207660913467407E-11</v>
      </c>
      <c r="O229" s="17">
        <f>+IF(AND(Resumen!$C$18="SI",Amortizacion!E229=1),SUM($H$2:J229)*25%,0)</f>
        <v>0</v>
      </c>
      <c r="P229" s="1">
        <f t="shared" si="57"/>
        <v>0</v>
      </c>
      <c r="Q229" s="17">
        <f t="shared" si="58"/>
        <v>0</v>
      </c>
      <c r="R229" s="17">
        <f t="shared" si="50"/>
        <v>0</v>
      </c>
      <c r="S229" s="17">
        <f>(Resumen!$C$10*(Resumen!$C$24)*(1+Incmat)^5)*$C229</f>
        <v>0</v>
      </c>
      <c r="T229" s="21">
        <f t="shared" si="51"/>
        <v>0</v>
      </c>
      <c r="U229" s="17">
        <f t="shared" si="52"/>
        <v>0</v>
      </c>
      <c r="V229" s="17">
        <f t="shared" si="53"/>
        <v>0</v>
      </c>
      <c r="W229" s="17">
        <f t="shared" si="59"/>
        <v>5.8207660913467407E-11</v>
      </c>
      <c r="X229" s="15" t="str">
        <f>+IF(B229="","",Resumen!$C$34)</f>
        <v/>
      </c>
      <c r="Y229" s="16">
        <f t="shared" si="47"/>
        <v>0</v>
      </c>
      <c r="Z229" s="20">
        <f t="shared" si="54"/>
        <v>0</v>
      </c>
      <c r="AA229" s="20">
        <f t="shared" si="55"/>
        <v>0</v>
      </c>
      <c r="AB229" s="20">
        <f>+IF(Resumen!$C$8="no",0,W229*((1+10%)^(0.0833333333333333)-1))</f>
        <v>0</v>
      </c>
    </row>
    <row r="230" spans="1:28" x14ac:dyDescent="0.35">
      <c r="A230">
        <f t="shared" si="62"/>
        <v>229</v>
      </c>
      <c r="B230" t="str">
        <f>+IF(A230&gt;Resumen!$C$40,"",A230)</f>
        <v/>
      </c>
      <c r="C230" s="1">
        <f>+IFERROR(HLOOKUP($B230,Resumen!$F$3:$AM$10,8,0),0)</f>
        <v>0</v>
      </c>
      <c r="D230" s="1">
        <f>+IFERROR(HLOOKUP($B230,Resumen!$F$3:$AM$12,10),0)</f>
        <v>0</v>
      </c>
      <c r="E230" s="1">
        <f>+IF(B230=Resumen!$C$38*6-6,1,0)</f>
        <v>0</v>
      </c>
      <c r="F230" s="1">
        <f>+IFERROR(HLOOKUP($B230,Resumen!$F$3:$AM$14,12),0)</f>
        <v>0</v>
      </c>
      <c r="G230" s="17">
        <f t="shared" si="60"/>
        <v>5.8207660913467407E-11</v>
      </c>
      <c r="H230" s="17">
        <f>IF(X230="",0,IF(F230=0,ROUND(SUM(J$2:J230)*X230,2),0))</f>
        <v>0</v>
      </c>
      <c r="I230" s="17">
        <f t="shared" si="46"/>
        <v>0</v>
      </c>
      <c r="J230" s="17">
        <f>(Resumen!$C$10*(1-Resumen!$C$24)*(1+Incmat)^5)*C230</f>
        <v>0</v>
      </c>
      <c r="K230" s="17">
        <f>+IF(F230=1,PMT(X230,(Resumen!$C$36+Resumen!$C$26+Resumen!$C$14*6-B230+1),-Amortizacion!G230),0)</f>
        <v>0</v>
      </c>
      <c r="L230" s="17">
        <f t="shared" si="48"/>
        <v>0</v>
      </c>
      <c r="M230" s="17">
        <f>+IF(Resumen!$C$20="no",H230,0)</f>
        <v>0</v>
      </c>
      <c r="N230" s="17">
        <f t="shared" si="49"/>
        <v>5.8207660913467407E-11</v>
      </c>
      <c r="O230" s="17">
        <f>+IF(AND(Resumen!$C$18="SI",Amortizacion!E230=1),SUM($H$2:J230)*25%,0)</f>
        <v>0</v>
      </c>
      <c r="P230" s="1">
        <f t="shared" si="57"/>
        <v>0</v>
      </c>
      <c r="Q230" s="17">
        <f t="shared" si="58"/>
        <v>0</v>
      </c>
      <c r="R230" s="17">
        <f t="shared" si="50"/>
        <v>0</v>
      </c>
      <c r="S230" s="17">
        <f>(Resumen!$C$10*(Resumen!$C$24)*(1+Incmat)^5)*$C230</f>
        <v>0</v>
      </c>
      <c r="T230" s="21">
        <f t="shared" si="51"/>
        <v>0</v>
      </c>
      <c r="U230" s="17">
        <f t="shared" si="52"/>
        <v>0</v>
      </c>
      <c r="V230" s="17">
        <f t="shared" si="53"/>
        <v>0</v>
      </c>
      <c r="W230" s="17">
        <f t="shared" si="59"/>
        <v>5.8207660913467407E-11</v>
      </c>
      <c r="X230" s="15" t="str">
        <f>+IF(B230="","",Resumen!$C$34)</f>
        <v/>
      </c>
      <c r="Y230" s="16">
        <f t="shared" si="47"/>
        <v>0</v>
      </c>
      <c r="Z230" s="20">
        <f t="shared" si="54"/>
        <v>0</v>
      </c>
      <c r="AA230" s="20">
        <f t="shared" si="55"/>
        <v>0</v>
      </c>
      <c r="AB230" s="20">
        <f>+IF(Resumen!$C$8="no",0,W230*((1+10%)^(0.0833333333333333)-1))</f>
        <v>0</v>
      </c>
    </row>
    <row r="231" spans="1:28" s="30" customFormat="1" x14ac:dyDescent="0.35">
      <c r="B231" s="31">
        <f>+COUNT(B2:B230)</f>
        <v>15</v>
      </c>
      <c r="C231" s="31">
        <f>+SUM(C2:C230)</f>
        <v>1</v>
      </c>
      <c r="D231" s="31">
        <f>+SUM(D2:D230)</f>
        <v>0</v>
      </c>
      <c r="E231" s="31">
        <f>+SUM(E2:E230)</f>
        <v>1</v>
      </c>
      <c r="F231" s="31">
        <f>+SUM(F2:F230)</f>
        <v>9</v>
      </c>
      <c r="G231" s="33">
        <f>+MAX(G3:G230)</f>
        <v>3740895.1399999997</v>
      </c>
      <c r="H231" s="31">
        <f t="shared" ref="H231:V231" si="63">+SUM(H2:H230)</f>
        <v>240895.14</v>
      </c>
      <c r="I231" s="31">
        <f t="shared" si="63"/>
        <v>217825.17155913461</v>
      </c>
      <c r="J231" s="31">
        <f t="shared" si="63"/>
        <v>3500000</v>
      </c>
      <c r="K231" s="31">
        <f t="shared" si="63"/>
        <v>3958720.3115591346</v>
      </c>
      <c r="L231" s="31">
        <f t="shared" si="63"/>
        <v>3740895.1399999997</v>
      </c>
      <c r="M231" s="31">
        <f>+SUM(M2:M230)</f>
        <v>0</v>
      </c>
      <c r="N231" s="31">
        <f t="shared" si="63"/>
        <v>37091118.182169914</v>
      </c>
      <c r="O231" s="31">
        <f t="shared" si="63"/>
        <v>0</v>
      </c>
      <c r="P231" s="31"/>
      <c r="Q231" s="31">
        <f t="shared" si="63"/>
        <v>5299896.813503053</v>
      </c>
      <c r="R231" s="31">
        <f t="shared" si="63"/>
        <v>60796.156089898919</v>
      </c>
      <c r="S231" s="31">
        <f t="shared" si="63"/>
        <v>1500000</v>
      </c>
      <c r="T231" s="31">
        <f t="shared" si="63"/>
        <v>1560796.1560898989</v>
      </c>
      <c r="U231" s="31">
        <f t="shared" si="63"/>
        <v>1500000.0000000002</v>
      </c>
      <c r="V231" s="31">
        <f t="shared" si="63"/>
        <v>3799896.813503053</v>
      </c>
      <c r="W231" s="31">
        <f>+MAX(W2:W230)</f>
        <v>4797223.2915907409</v>
      </c>
      <c r="X231" s="32">
        <f>+AVERAGE(X2:X230)</f>
        <v>1.147119618159409E-2</v>
      </c>
      <c r="Y231" s="31">
        <f>+SUM(Y2:Y230)</f>
        <v>5000000</v>
      </c>
      <c r="Z231" s="31">
        <f>+SUM(Z2:Z230)</f>
        <v>5519516.4676490324</v>
      </c>
      <c r="AA231" s="31">
        <f>+SUM(AA2:AA230)</f>
        <v>278621.32764903351</v>
      </c>
      <c r="AB231" s="31">
        <f>+SUM(AB2:AB230)</f>
        <v>0</v>
      </c>
    </row>
    <row r="232" spans="1:28" x14ac:dyDescent="0.35">
      <c r="B232" s="19">
        <f>+B231-Resumen!C40</f>
        <v>0</v>
      </c>
      <c r="C232" s="19">
        <f>+C231-Resumen!C14</f>
        <v>0</v>
      </c>
      <c r="D232" s="19">
        <f>+D231-Resumen!C26</f>
        <v>0</v>
      </c>
      <c r="E232" s="19">
        <f>+E231-1</f>
        <v>0</v>
      </c>
      <c r="F232" s="19">
        <f>+F231-Resumen!$C$36</f>
        <v>0</v>
      </c>
      <c r="G232" s="17"/>
      <c r="I232" s="17"/>
      <c r="J232" s="17"/>
      <c r="K232" s="17"/>
      <c r="L232" s="17"/>
      <c r="M232" s="17"/>
      <c r="N232" s="17"/>
      <c r="O232" s="17"/>
      <c r="P232" s="17"/>
      <c r="Q232" s="17"/>
      <c r="R232" s="17"/>
      <c r="S232" s="17"/>
      <c r="T232" s="17"/>
      <c r="U232" s="17"/>
      <c r="V232" s="17"/>
      <c r="W232" s="17">
        <f>+W231-J233</f>
        <v>1056328.1515907408</v>
      </c>
      <c r="X232" s="15"/>
      <c r="Z232" s="16"/>
      <c r="AA232" s="16"/>
      <c r="AB232" s="16"/>
    </row>
    <row r="233" spans="1:28" x14ac:dyDescent="0.35">
      <c r="C233" s="17"/>
      <c r="G233" s="17"/>
      <c r="H233" s="17" t="s">
        <v>38</v>
      </c>
      <c r="I233" s="17"/>
      <c r="J233" s="17">
        <f>+H231+J231-O231-M231</f>
        <v>3740895.14</v>
      </c>
      <c r="K233" s="17"/>
      <c r="L233" s="17"/>
      <c r="M233" s="17"/>
      <c r="N233" s="17"/>
      <c r="O233" s="17"/>
      <c r="P233" s="17"/>
      <c r="Q233" s="17"/>
      <c r="R233" s="17"/>
      <c r="S233" s="17"/>
      <c r="T233" s="17"/>
      <c r="V233" s="17"/>
      <c r="W233" s="17"/>
      <c r="X233" s="15"/>
    </row>
    <row r="234" spans="1:28" x14ac:dyDescent="0.35">
      <c r="C234" s="17"/>
      <c r="G234" s="17"/>
      <c r="H234" s="17"/>
      <c r="I234" s="17" t="s">
        <v>39</v>
      </c>
      <c r="J234" s="18">
        <f>+J233-VLOOKUP(1,$E$2:$N$230,10,0)</f>
        <v>0</v>
      </c>
      <c r="K234" s="17"/>
      <c r="L234" s="17"/>
      <c r="M234" s="17"/>
      <c r="N234" s="17"/>
      <c r="O234" s="17"/>
      <c r="P234" s="17"/>
      <c r="Q234" s="17"/>
      <c r="R234" s="17"/>
      <c r="S234" s="17"/>
      <c r="T234" s="17"/>
      <c r="U234" s="17">
        <f>+S231+R231-T231</f>
        <v>0</v>
      </c>
      <c r="V234" s="17"/>
      <c r="W234" s="17"/>
      <c r="X234" s="15"/>
    </row>
    <row r="235" spans="1:28" x14ac:dyDescent="0.35">
      <c r="C235" s="17"/>
      <c r="G235" s="17"/>
      <c r="H235" s="17"/>
      <c r="I235" s="17"/>
      <c r="J235" s="17"/>
      <c r="K235" s="17"/>
      <c r="L235" s="17"/>
      <c r="M235" s="17"/>
      <c r="N235" s="17"/>
      <c r="O235" s="17"/>
      <c r="P235" s="17"/>
      <c r="Q235" s="17"/>
      <c r="R235" s="17"/>
      <c r="S235" s="17"/>
      <c r="T235" s="17"/>
      <c r="U235" s="17"/>
      <c r="V235" s="17"/>
      <c r="W235" s="17"/>
      <c r="X235" s="15"/>
    </row>
    <row r="236" spans="1:28" x14ac:dyDescent="0.35">
      <c r="C236" s="17"/>
      <c r="G236" s="17"/>
      <c r="H236" s="17"/>
      <c r="I236" s="17"/>
      <c r="J236" s="17"/>
      <c r="K236" s="17"/>
      <c r="L236" s="17"/>
      <c r="M236" s="17"/>
      <c r="N236" s="17"/>
      <c r="O236" s="17"/>
      <c r="P236" s="17"/>
      <c r="Q236" s="17"/>
      <c r="R236" s="17"/>
      <c r="S236" s="17"/>
      <c r="T236" s="17"/>
      <c r="U236" s="17"/>
      <c r="V236" s="17"/>
      <c r="W236" s="17"/>
      <c r="X236" s="15"/>
    </row>
    <row r="237" spans="1:28" x14ac:dyDescent="0.35">
      <c r="C237" s="17"/>
      <c r="G237" s="17"/>
      <c r="H237" s="17"/>
      <c r="I237" s="17"/>
      <c r="J237" s="17"/>
      <c r="K237" s="17"/>
      <c r="L237" s="17"/>
      <c r="M237" s="17"/>
      <c r="N237" s="17"/>
      <c r="O237" s="17"/>
      <c r="P237" s="17"/>
      <c r="Q237" s="17"/>
      <c r="R237" s="17"/>
      <c r="S237" s="17"/>
      <c r="T237" s="17"/>
      <c r="U237" s="17"/>
      <c r="V237" s="17"/>
      <c r="W237" s="17"/>
      <c r="X237" s="15"/>
    </row>
    <row r="238" spans="1:28" x14ac:dyDescent="0.35">
      <c r="C238" s="17"/>
      <c r="G238" s="17"/>
      <c r="H238" s="17"/>
      <c r="I238" s="17"/>
      <c r="J238" s="17"/>
      <c r="K238" s="17"/>
      <c r="L238" s="17"/>
      <c r="M238" s="17"/>
      <c r="N238" s="17"/>
      <c r="O238" s="17"/>
      <c r="P238" s="17"/>
      <c r="Q238" s="17"/>
      <c r="R238" s="17"/>
      <c r="S238" s="17"/>
      <c r="T238" s="17"/>
      <c r="U238" s="17"/>
      <c r="V238" s="17"/>
      <c r="W238" s="17"/>
      <c r="X238" s="15"/>
    </row>
    <row r="239" spans="1:28" x14ac:dyDescent="0.35">
      <c r="C239" s="17"/>
      <c r="G239" s="17"/>
      <c r="H239" s="17"/>
      <c r="I239" s="17"/>
      <c r="J239" s="17"/>
      <c r="K239" s="17"/>
      <c r="L239" s="17"/>
      <c r="M239" s="17"/>
      <c r="N239" s="17"/>
      <c r="O239" s="17"/>
      <c r="P239" s="17"/>
      <c r="Q239" s="17"/>
      <c r="R239" s="17"/>
      <c r="S239" s="17"/>
      <c r="T239" s="17"/>
      <c r="U239" s="17"/>
      <c r="V239" s="17"/>
      <c r="W239" s="17"/>
      <c r="X239" s="15"/>
    </row>
    <row r="240" spans="1:28" x14ac:dyDescent="0.35">
      <c r="C240" s="17"/>
      <c r="G240" s="17"/>
      <c r="H240" s="17"/>
      <c r="I240" s="17"/>
      <c r="J240" s="17"/>
      <c r="K240" s="17"/>
      <c r="L240" s="17"/>
      <c r="M240" s="17"/>
      <c r="N240" s="17"/>
      <c r="O240" s="17"/>
      <c r="P240" s="17"/>
      <c r="Q240" s="17"/>
      <c r="R240" s="17"/>
      <c r="S240" s="17"/>
      <c r="T240" s="17"/>
      <c r="U240" s="17"/>
      <c r="V240" s="17"/>
      <c r="W240" s="17"/>
      <c r="X240" s="15"/>
    </row>
    <row r="241" spans="3:24" x14ac:dyDescent="0.35">
      <c r="C241" s="17"/>
      <c r="G241" s="17"/>
      <c r="H241" s="17"/>
      <c r="I241" s="17"/>
      <c r="J241" s="17"/>
      <c r="K241" s="17"/>
      <c r="L241" s="17"/>
      <c r="M241" s="17"/>
      <c r="N241" s="17"/>
      <c r="O241" s="17"/>
      <c r="P241" s="17"/>
      <c r="Q241" s="17"/>
      <c r="R241" s="17"/>
      <c r="S241" s="17"/>
      <c r="T241" s="17"/>
      <c r="U241" s="17"/>
      <c r="V241" s="17"/>
      <c r="W241" s="17"/>
      <c r="X241" s="15"/>
    </row>
    <row r="242" spans="3:24" x14ac:dyDescent="0.35">
      <c r="C242" s="17"/>
      <c r="G242" s="17"/>
      <c r="H242" s="17"/>
      <c r="I242" s="17"/>
      <c r="J242" s="17"/>
      <c r="K242" s="17"/>
      <c r="L242" s="17"/>
      <c r="M242" s="17"/>
      <c r="N242" s="17"/>
      <c r="O242" s="17"/>
      <c r="P242" s="17"/>
      <c r="Q242" s="17"/>
      <c r="R242" s="17"/>
      <c r="S242" s="17"/>
      <c r="T242" s="17"/>
      <c r="U242" s="17"/>
      <c r="V242" s="17"/>
      <c r="W242" s="17"/>
      <c r="X242" s="15"/>
    </row>
    <row r="243" spans="3:24" x14ac:dyDescent="0.35">
      <c r="C243" s="17"/>
      <c r="G243" s="17"/>
      <c r="H243" s="17"/>
      <c r="I243" s="17"/>
      <c r="J243" s="17"/>
      <c r="K243" s="17"/>
      <c r="L243" s="17"/>
      <c r="M243" s="17"/>
      <c r="N243" s="17"/>
      <c r="O243" s="17"/>
      <c r="P243" s="17"/>
      <c r="Q243" s="17"/>
      <c r="R243" s="17"/>
      <c r="S243" s="17"/>
      <c r="T243" s="17"/>
      <c r="U243" s="17"/>
      <c r="V243" s="17"/>
      <c r="W243" s="17"/>
      <c r="X243" s="15"/>
    </row>
    <row r="244" spans="3:24" x14ac:dyDescent="0.35">
      <c r="C244" s="17"/>
      <c r="G244" s="17"/>
      <c r="H244" s="17"/>
      <c r="I244" s="17"/>
      <c r="J244" s="17"/>
      <c r="K244" s="17"/>
      <c r="L244" s="17"/>
      <c r="M244" s="17"/>
      <c r="N244" s="17"/>
      <c r="O244" s="17"/>
      <c r="P244" s="17"/>
      <c r="Q244" s="17"/>
      <c r="R244" s="17"/>
      <c r="S244" s="17"/>
      <c r="T244" s="17"/>
      <c r="U244" s="17"/>
      <c r="V244" s="17"/>
      <c r="W244" s="17"/>
      <c r="X244" s="15"/>
    </row>
    <row r="245" spans="3:24" x14ac:dyDescent="0.35">
      <c r="C245" s="17"/>
      <c r="G245" s="17"/>
      <c r="H245" s="17"/>
      <c r="I245" s="17"/>
      <c r="J245" s="17"/>
      <c r="K245" s="17"/>
      <c r="L245" s="17"/>
      <c r="M245" s="17"/>
      <c r="N245" s="17"/>
      <c r="O245" s="17"/>
      <c r="P245" s="17"/>
      <c r="Q245" s="17"/>
      <c r="R245" s="17"/>
      <c r="S245" s="17"/>
      <c r="T245" s="17"/>
      <c r="U245" s="17"/>
      <c r="V245" s="17"/>
      <c r="W245" s="17"/>
      <c r="X245" s="15"/>
    </row>
    <row r="246" spans="3:24" x14ac:dyDescent="0.35">
      <c r="C246" s="17"/>
      <c r="G246" s="17"/>
      <c r="H246" s="17"/>
      <c r="I246" s="17"/>
      <c r="J246" s="17"/>
      <c r="K246" s="17"/>
      <c r="L246" s="17"/>
      <c r="M246" s="17"/>
      <c r="N246" s="17"/>
      <c r="O246" s="17"/>
      <c r="P246" s="17"/>
      <c r="Q246" s="17"/>
      <c r="R246" s="17"/>
      <c r="S246" s="17"/>
      <c r="T246" s="17"/>
      <c r="U246" s="17"/>
      <c r="V246" s="17"/>
      <c r="W246" s="17"/>
      <c r="X246" s="15"/>
    </row>
    <row r="247" spans="3:24" x14ac:dyDescent="0.35">
      <c r="C247" s="17"/>
      <c r="G247" s="17"/>
      <c r="H247" s="17"/>
      <c r="I247" s="17"/>
      <c r="J247" s="17"/>
      <c r="K247" s="17"/>
      <c r="L247" s="17"/>
      <c r="M247" s="17"/>
      <c r="N247" s="17"/>
      <c r="O247" s="17"/>
      <c r="P247" s="17"/>
      <c r="Q247" s="17"/>
      <c r="R247" s="17"/>
      <c r="S247" s="17"/>
      <c r="T247" s="17"/>
      <c r="U247" s="17"/>
      <c r="V247" s="17"/>
      <c r="W247" s="17"/>
      <c r="X247" s="15"/>
    </row>
    <row r="248" spans="3:24" x14ac:dyDescent="0.35">
      <c r="C248" s="17"/>
      <c r="G248" s="17"/>
      <c r="H248" s="17"/>
      <c r="I248" s="17"/>
      <c r="J248" s="17"/>
      <c r="K248" s="17"/>
      <c r="L248" s="17"/>
      <c r="M248" s="17"/>
      <c r="N248" s="17"/>
      <c r="O248" s="17"/>
      <c r="P248" s="17"/>
      <c r="Q248" s="17"/>
      <c r="R248" s="17"/>
      <c r="S248" s="17"/>
      <c r="T248" s="17"/>
      <c r="U248" s="17"/>
      <c r="V248" s="17"/>
      <c r="W248" s="17"/>
      <c r="X248" s="15"/>
    </row>
    <row r="249" spans="3:24" x14ac:dyDescent="0.35">
      <c r="C249" s="17"/>
      <c r="G249" s="17"/>
      <c r="H249" s="17"/>
      <c r="I249" s="17"/>
      <c r="J249" s="17"/>
      <c r="K249" s="17"/>
      <c r="L249" s="17"/>
      <c r="M249" s="17"/>
      <c r="N249" s="17"/>
      <c r="O249" s="17"/>
      <c r="P249" s="17"/>
      <c r="Q249" s="17"/>
      <c r="R249" s="17"/>
      <c r="S249" s="17"/>
      <c r="T249" s="17"/>
      <c r="U249" s="17"/>
      <c r="V249" s="17"/>
      <c r="W249" s="17"/>
      <c r="X249" s="15"/>
    </row>
    <row r="250" spans="3:24" x14ac:dyDescent="0.35">
      <c r="C250" s="17"/>
      <c r="G250" s="17"/>
      <c r="H250" s="17"/>
      <c r="I250" s="17"/>
      <c r="J250" s="17"/>
      <c r="K250" s="17"/>
      <c r="L250" s="17"/>
      <c r="M250" s="17"/>
      <c r="N250" s="17"/>
      <c r="O250" s="17"/>
      <c r="P250" s="17"/>
      <c r="Q250" s="17"/>
      <c r="R250" s="17"/>
      <c r="S250" s="17"/>
      <c r="T250" s="17"/>
      <c r="U250" s="17"/>
      <c r="V250" s="17"/>
      <c r="W250" s="17"/>
      <c r="X250" s="15"/>
    </row>
    <row r="251" spans="3:24" x14ac:dyDescent="0.35">
      <c r="C251" s="17"/>
      <c r="G251" s="17"/>
      <c r="H251" s="17"/>
      <c r="I251" s="17"/>
      <c r="J251" s="17"/>
      <c r="K251" s="17"/>
      <c r="L251" s="17"/>
      <c r="M251" s="17"/>
      <c r="N251" s="17"/>
      <c r="O251" s="17"/>
      <c r="P251" s="17"/>
      <c r="Q251" s="17"/>
      <c r="R251" s="17"/>
      <c r="S251" s="17"/>
      <c r="T251" s="17"/>
      <c r="U251" s="17"/>
      <c r="V251" s="17"/>
      <c r="W251" s="17"/>
      <c r="X251" s="15"/>
    </row>
    <row r="252" spans="3:24" x14ac:dyDescent="0.35">
      <c r="C252" s="17"/>
      <c r="G252" s="17"/>
      <c r="H252" s="17"/>
      <c r="I252" s="17"/>
      <c r="J252" s="17"/>
      <c r="K252" s="17"/>
      <c r="L252" s="17"/>
      <c r="M252" s="17"/>
      <c r="N252" s="17"/>
      <c r="O252" s="17"/>
      <c r="P252" s="17"/>
      <c r="Q252" s="17"/>
      <c r="R252" s="17"/>
      <c r="S252" s="17"/>
      <c r="T252" s="17"/>
      <c r="U252" s="17"/>
      <c r="V252" s="17"/>
      <c r="W252" s="17"/>
      <c r="X252" s="15"/>
    </row>
    <row r="253" spans="3:24" x14ac:dyDescent="0.35">
      <c r="C253" s="17"/>
      <c r="G253" s="17"/>
      <c r="H253" s="17"/>
      <c r="I253" s="17"/>
      <c r="J253" s="17"/>
      <c r="K253" s="17"/>
      <c r="L253" s="17"/>
      <c r="M253" s="17"/>
      <c r="N253" s="17"/>
      <c r="O253" s="17"/>
      <c r="P253" s="17"/>
      <c r="Q253" s="17"/>
      <c r="R253" s="17"/>
      <c r="S253" s="17"/>
      <c r="T253" s="17"/>
      <c r="U253" s="17"/>
      <c r="V253" s="17"/>
      <c r="W253" s="17"/>
      <c r="X253" s="15"/>
    </row>
    <row r="254" spans="3:24" x14ac:dyDescent="0.35">
      <c r="C254" s="17"/>
      <c r="G254" s="17"/>
      <c r="H254" s="17"/>
      <c r="I254" s="17"/>
      <c r="J254" s="17"/>
      <c r="K254" s="17"/>
      <c r="L254" s="17"/>
      <c r="M254" s="17"/>
      <c r="N254" s="17"/>
      <c r="O254" s="17"/>
      <c r="P254" s="17"/>
      <c r="Q254" s="17"/>
      <c r="R254" s="17"/>
      <c r="S254" s="17"/>
      <c r="T254" s="17"/>
      <c r="U254" s="17"/>
      <c r="V254" s="17"/>
      <c r="W254" s="17"/>
      <c r="X254" s="15"/>
    </row>
    <row r="255" spans="3:24" x14ac:dyDescent="0.35">
      <c r="C255" s="17"/>
      <c r="G255" s="17"/>
      <c r="H255" s="17"/>
      <c r="I255" s="17"/>
      <c r="J255" s="17"/>
      <c r="K255" s="17"/>
      <c r="L255" s="17"/>
      <c r="M255" s="17"/>
      <c r="N255" s="17"/>
      <c r="O255" s="17"/>
      <c r="P255" s="17"/>
      <c r="Q255" s="17"/>
      <c r="R255" s="17"/>
      <c r="S255" s="17"/>
      <c r="T255" s="17"/>
      <c r="U255" s="17"/>
      <c r="V255" s="17"/>
      <c r="W255" s="17"/>
      <c r="X255" s="15"/>
    </row>
    <row r="256" spans="3:24" x14ac:dyDescent="0.35">
      <c r="C256" s="17"/>
      <c r="G256" s="17"/>
      <c r="H256" s="17"/>
      <c r="I256" s="17"/>
      <c r="J256" s="17"/>
      <c r="K256" s="17"/>
      <c r="L256" s="17"/>
      <c r="M256" s="17"/>
      <c r="N256" s="17"/>
      <c r="O256" s="17"/>
      <c r="P256" s="17"/>
      <c r="Q256" s="17"/>
      <c r="R256" s="17"/>
      <c r="S256" s="17"/>
      <c r="T256" s="17"/>
      <c r="U256" s="17"/>
      <c r="V256" s="17"/>
      <c r="W256" s="17"/>
      <c r="X256" s="15"/>
    </row>
    <row r="257" spans="24:24" x14ac:dyDescent="0.35">
      <c r="X257" s="15"/>
    </row>
    <row r="258" spans="24:24" x14ac:dyDescent="0.35">
      <c r="X258" s="15"/>
    </row>
    <row r="259" spans="24:24" x14ac:dyDescent="0.35">
      <c r="X259" s="15"/>
    </row>
    <row r="260" spans="24:24" x14ac:dyDescent="0.35">
      <c r="X260" s="15"/>
    </row>
    <row r="261" spans="24:24" x14ac:dyDescent="0.35">
      <c r="X261" s="15"/>
    </row>
    <row r="262" spans="24:24" x14ac:dyDescent="0.35">
      <c r="X262" s="15"/>
    </row>
    <row r="263" spans="24:24" x14ac:dyDescent="0.35">
      <c r="X263" s="15"/>
    </row>
    <row r="264" spans="24:24" x14ac:dyDescent="0.35">
      <c r="X264" s="15"/>
    </row>
    <row r="265" spans="24:24" x14ac:dyDescent="0.35">
      <c r="X265" s="15"/>
    </row>
    <row r="266" spans="24:24" x14ac:dyDescent="0.35">
      <c r="X266" s="15"/>
    </row>
    <row r="267" spans="24:24" x14ac:dyDescent="0.35">
      <c r="X267" s="15"/>
    </row>
    <row r="268" spans="24:24" x14ac:dyDescent="0.35">
      <c r="X268" s="15"/>
    </row>
    <row r="269" spans="24:24" x14ac:dyDescent="0.35">
      <c r="X269" s="15"/>
    </row>
    <row r="270" spans="24:24" x14ac:dyDescent="0.35">
      <c r="X270" s="15"/>
    </row>
    <row r="271" spans="24:24" x14ac:dyDescent="0.35">
      <c r="X271" s="15"/>
    </row>
    <row r="272" spans="24:24" x14ac:dyDescent="0.35">
      <c r="X272" s="15"/>
    </row>
    <row r="273" spans="24:24" x14ac:dyDescent="0.35">
      <c r="X273" s="15"/>
    </row>
    <row r="274" spans="24:24" x14ac:dyDescent="0.35">
      <c r="X274" s="15"/>
    </row>
    <row r="275" spans="24:24" x14ac:dyDescent="0.35">
      <c r="X275" s="15"/>
    </row>
    <row r="276" spans="24:24" x14ac:dyDescent="0.35">
      <c r="X276" s="15"/>
    </row>
    <row r="277" spans="24:24" x14ac:dyDescent="0.35">
      <c r="X277" s="15"/>
    </row>
    <row r="278" spans="24:24" x14ac:dyDescent="0.35">
      <c r="X278" s="15"/>
    </row>
    <row r="279" spans="24:24" x14ac:dyDescent="0.35">
      <c r="X279" s="15"/>
    </row>
    <row r="280" spans="24:24" x14ac:dyDescent="0.35">
      <c r="X280" s="15"/>
    </row>
    <row r="281" spans="24:24" x14ac:dyDescent="0.35">
      <c r="X281" s="15"/>
    </row>
    <row r="282" spans="24:24" x14ac:dyDescent="0.35">
      <c r="X282" s="15"/>
    </row>
    <row r="283" spans="24:24" x14ac:dyDescent="0.35">
      <c r="X283" s="15"/>
    </row>
    <row r="284" spans="24:24" x14ac:dyDescent="0.35">
      <c r="X284" s="15"/>
    </row>
    <row r="285" spans="24:24" x14ac:dyDescent="0.35">
      <c r="X285" s="15"/>
    </row>
    <row r="286" spans="24:24" x14ac:dyDescent="0.35">
      <c r="X286" s="15"/>
    </row>
    <row r="287" spans="24:24" x14ac:dyDescent="0.35">
      <c r="X287" s="15"/>
    </row>
    <row r="288" spans="24:24" x14ac:dyDescent="0.35">
      <c r="X288" s="15"/>
    </row>
    <row r="289" spans="24:24" x14ac:dyDescent="0.35">
      <c r="X289" s="15"/>
    </row>
    <row r="290" spans="24:24" x14ac:dyDescent="0.35">
      <c r="X290" s="15"/>
    </row>
    <row r="291" spans="24:24" x14ac:dyDescent="0.35">
      <c r="X291" s="15"/>
    </row>
    <row r="292" spans="24:24" x14ac:dyDescent="0.35">
      <c r="X292" s="15"/>
    </row>
    <row r="293" spans="24:24" x14ac:dyDescent="0.35">
      <c r="X293" s="15"/>
    </row>
    <row r="294" spans="24:24" x14ac:dyDescent="0.35">
      <c r="X294" s="15"/>
    </row>
    <row r="295" spans="24:24" x14ac:dyDescent="0.35">
      <c r="X295" s="15"/>
    </row>
    <row r="296" spans="24:24" x14ac:dyDescent="0.35">
      <c r="X296" s="15"/>
    </row>
    <row r="297" spans="24:24" x14ac:dyDescent="0.35">
      <c r="X297" s="15"/>
    </row>
    <row r="298" spans="24:24" x14ac:dyDescent="0.35">
      <c r="X298" s="15"/>
    </row>
    <row r="299" spans="24:24" x14ac:dyDescent="0.35">
      <c r="X299" s="15"/>
    </row>
    <row r="300" spans="24:24" x14ac:dyDescent="0.35">
      <c r="X300" s="15"/>
    </row>
    <row r="301" spans="24:24" x14ac:dyDescent="0.35">
      <c r="X301" s="15"/>
    </row>
    <row r="302" spans="24:24" x14ac:dyDescent="0.35">
      <c r="X302" s="15"/>
    </row>
    <row r="303" spans="24:24" x14ac:dyDescent="0.35">
      <c r="X303" s="15"/>
    </row>
    <row r="304" spans="24:24" x14ac:dyDescent="0.35">
      <c r="X304" s="15"/>
    </row>
    <row r="305" spans="24:24" x14ac:dyDescent="0.35">
      <c r="X305" s="15"/>
    </row>
    <row r="306" spans="24:24" x14ac:dyDescent="0.35">
      <c r="X306" s="15"/>
    </row>
    <row r="307" spans="24:24" x14ac:dyDescent="0.35">
      <c r="X307" s="15"/>
    </row>
    <row r="308" spans="24:24" x14ac:dyDescent="0.35">
      <c r="X308" s="15"/>
    </row>
    <row r="309" spans="24:24" x14ac:dyDescent="0.35">
      <c r="X309" s="15"/>
    </row>
    <row r="310" spans="24:24" x14ac:dyDescent="0.35">
      <c r="X310" s="15"/>
    </row>
    <row r="311" spans="24:24" x14ac:dyDescent="0.35">
      <c r="X311" s="15"/>
    </row>
    <row r="312" spans="24:24" x14ac:dyDescent="0.35">
      <c r="X312" s="15"/>
    </row>
    <row r="313" spans="24:24" x14ac:dyDescent="0.35">
      <c r="X313" s="15"/>
    </row>
    <row r="314" spans="24:24" x14ac:dyDescent="0.35">
      <c r="X314" s="15"/>
    </row>
    <row r="315" spans="24:24" x14ac:dyDescent="0.35">
      <c r="X315" s="15"/>
    </row>
    <row r="316" spans="24:24" x14ac:dyDescent="0.35">
      <c r="X316" s="15"/>
    </row>
    <row r="317" spans="24:24" x14ac:dyDescent="0.35">
      <c r="X317" s="15"/>
    </row>
    <row r="318" spans="24:24" x14ac:dyDescent="0.35">
      <c r="X318" s="15"/>
    </row>
    <row r="319" spans="24:24" x14ac:dyDescent="0.35">
      <c r="X319" s="15"/>
    </row>
    <row r="320" spans="24:24" x14ac:dyDescent="0.35">
      <c r="X320" s="15"/>
    </row>
    <row r="321" spans="24:24" x14ac:dyDescent="0.35">
      <c r="X321" s="15"/>
    </row>
    <row r="322" spans="24:24" x14ac:dyDescent="0.35">
      <c r="X322" s="15"/>
    </row>
    <row r="323" spans="24:24" x14ac:dyDescent="0.35">
      <c r="X323" s="15"/>
    </row>
    <row r="324" spans="24:24" x14ac:dyDescent="0.35">
      <c r="X324" s="15"/>
    </row>
    <row r="325" spans="24:24" x14ac:dyDescent="0.35">
      <c r="X325" s="15"/>
    </row>
    <row r="326" spans="24:24" x14ac:dyDescent="0.35">
      <c r="X326" s="15"/>
    </row>
    <row r="327" spans="24:24" x14ac:dyDescent="0.35">
      <c r="X327" s="15"/>
    </row>
    <row r="328" spans="24:24" x14ac:dyDescent="0.35">
      <c r="X328" s="15"/>
    </row>
    <row r="329" spans="24:24" x14ac:dyDescent="0.35">
      <c r="X329" s="15"/>
    </row>
    <row r="330" spans="24:24" x14ac:dyDescent="0.35">
      <c r="X330" s="15"/>
    </row>
    <row r="331" spans="24:24" x14ac:dyDescent="0.35">
      <c r="X331" s="15"/>
    </row>
    <row r="332" spans="24:24" x14ac:dyDescent="0.35">
      <c r="X332" s="15"/>
    </row>
    <row r="333" spans="24:24" x14ac:dyDescent="0.35">
      <c r="X333" s="15"/>
    </row>
    <row r="334" spans="24:24" x14ac:dyDescent="0.35">
      <c r="X334" s="15"/>
    </row>
    <row r="335" spans="24:24" x14ac:dyDescent="0.35">
      <c r="X335" s="15"/>
    </row>
    <row r="336" spans="24:24" x14ac:dyDescent="0.35">
      <c r="X336" s="15"/>
    </row>
    <row r="337" spans="24:24" x14ac:dyDescent="0.35">
      <c r="X337" s="15"/>
    </row>
    <row r="338" spans="24:24" x14ac:dyDescent="0.35">
      <c r="X338" s="15"/>
    </row>
    <row r="339" spans="24:24" x14ac:dyDescent="0.35">
      <c r="X339" s="15"/>
    </row>
    <row r="340" spans="24:24" x14ac:dyDescent="0.35">
      <c r="X340" s="15"/>
    </row>
    <row r="341" spans="24:24" x14ac:dyDescent="0.35">
      <c r="X341" s="15"/>
    </row>
    <row r="342" spans="24:24" x14ac:dyDescent="0.35">
      <c r="X342" s="15"/>
    </row>
    <row r="343" spans="24:24" x14ac:dyDescent="0.35">
      <c r="X343" s="15"/>
    </row>
    <row r="344" spans="24:24" x14ac:dyDescent="0.35">
      <c r="X344" s="15"/>
    </row>
    <row r="345" spans="24:24" x14ac:dyDescent="0.35">
      <c r="X345" s="15"/>
    </row>
    <row r="346" spans="24:24" x14ac:dyDescent="0.35">
      <c r="X346" s="15"/>
    </row>
    <row r="347" spans="24:24" x14ac:dyDescent="0.35">
      <c r="X347" s="15"/>
    </row>
    <row r="348" spans="24:24" x14ac:dyDescent="0.35">
      <c r="X348" s="15"/>
    </row>
    <row r="349" spans="24:24" x14ac:dyDescent="0.35">
      <c r="X349" s="15"/>
    </row>
    <row r="350" spans="24:24" x14ac:dyDescent="0.35">
      <c r="X350" s="15"/>
    </row>
    <row r="351" spans="24:24" x14ac:dyDescent="0.35">
      <c r="X351" s="15"/>
    </row>
    <row r="352" spans="24:24" x14ac:dyDescent="0.35">
      <c r="X352" s="15"/>
    </row>
    <row r="353" spans="24:24" x14ac:dyDescent="0.35">
      <c r="X353" s="15"/>
    </row>
    <row r="354" spans="24:24" x14ac:dyDescent="0.35">
      <c r="X354" s="15"/>
    </row>
    <row r="355" spans="24:24" x14ac:dyDescent="0.35">
      <c r="X355" s="15"/>
    </row>
    <row r="356" spans="24:24" x14ac:dyDescent="0.35">
      <c r="X356" s="15"/>
    </row>
    <row r="357" spans="24:24" x14ac:dyDescent="0.35">
      <c r="X357" s="15"/>
    </row>
    <row r="358" spans="24:24" x14ac:dyDescent="0.35">
      <c r="X358" s="15"/>
    </row>
    <row r="359" spans="24:24" x14ac:dyDescent="0.35">
      <c r="X359" s="15"/>
    </row>
    <row r="360" spans="24:24" x14ac:dyDescent="0.35">
      <c r="X360" s="15"/>
    </row>
    <row r="361" spans="24:24" x14ac:dyDescent="0.35">
      <c r="X361" s="15"/>
    </row>
    <row r="362" spans="24:24" x14ac:dyDescent="0.35">
      <c r="X362" s="15"/>
    </row>
    <row r="363" spans="24:24" x14ac:dyDescent="0.35">
      <c r="X363" s="15"/>
    </row>
    <row r="364" spans="24:24" x14ac:dyDescent="0.35">
      <c r="X364" s="15"/>
    </row>
    <row r="365" spans="24:24" x14ac:dyDescent="0.35">
      <c r="X365" s="15"/>
    </row>
    <row r="366" spans="24:24" x14ac:dyDescent="0.35">
      <c r="X366" s="15"/>
    </row>
    <row r="367" spans="24:24" x14ac:dyDescent="0.35">
      <c r="X367" s="15"/>
    </row>
    <row r="368" spans="24:24" x14ac:dyDescent="0.35">
      <c r="X368" s="15"/>
    </row>
    <row r="369" spans="24:24" x14ac:dyDescent="0.35">
      <c r="X369" s="15"/>
    </row>
    <row r="370" spans="24:24" x14ac:dyDescent="0.35">
      <c r="X370" s="15"/>
    </row>
    <row r="371" spans="24:24" x14ac:dyDescent="0.35">
      <c r="X371" s="15"/>
    </row>
    <row r="372" spans="24:24" x14ac:dyDescent="0.35">
      <c r="X372" s="15"/>
    </row>
    <row r="373" spans="24:24" x14ac:dyDescent="0.35">
      <c r="X373" s="15"/>
    </row>
    <row r="374" spans="24:24" x14ac:dyDescent="0.35">
      <c r="X374" s="15"/>
    </row>
    <row r="375" spans="24:24" x14ac:dyDescent="0.35">
      <c r="X375" s="15"/>
    </row>
    <row r="376" spans="24:24" x14ac:dyDescent="0.35">
      <c r="X376" s="15"/>
    </row>
    <row r="377" spans="24:24" x14ac:dyDescent="0.35">
      <c r="X377" s="15"/>
    </row>
    <row r="378" spans="24:24" x14ac:dyDescent="0.35">
      <c r="X378" s="15"/>
    </row>
    <row r="379" spans="24:24" x14ac:dyDescent="0.35">
      <c r="X379" s="15"/>
    </row>
    <row r="380" spans="24:24" x14ac:dyDescent="0.35">
      <c r="X380" s="15"/>
    </row>
    <row r="381" spans="24:24" x14ac:dyDescent="0.35">
      <c r="X381" s="15"/>
    </row>
    <row r="382" spans="24:24" x14ac:dyDescent="0.35">
      <c r="X382" s="15"/>
    </row>
    <row r="383" spans="24:24" x14ac:dyDescent="0.35">
      <c r="X383" s="15"/>
    </row>
    <row r="384" spans="24:24" x14ac:dyDescent="0.35">
      <c r="X384" s="15"/>
    </row>
    <row r="385" spans="24:24" x14ac:dyDescent="0.35">
      <c r="X385" s="15"/>
    </row>
    <row r="386" spans="24:24" x14ac:dyDescent="0.35">
      <c r="X386" s="15"/>
    </row>
    <row r="387" spans="24:24" x14ac:dyDescent="0.35">
      <c r="X387" s="15"/>
    </row>
    <row r="388" spans="24:24" x14ac:dyDescent="0.35">
      <c r="X388" s="15"/>
    </row>
    <row r="389" spans="24:24" x14ac:dyDescent="0.35">
      <c r="X389" s="15"/>
    </row>
    <row r="390" spans="24:24" x14ac:dyDescent="0.35">
      <c r="X390" s="15"/>
    </row>
    <row r="391" spans="24:24" x14ac:dyDescent="0.35">
      <c r="X391" s="15"/>
    </row>
    <row r="392" spans="24:24" x14ac:dyDescent="0.35">
      <c r="X392" s="15"/>
    </row>
    <row r="393" spans="24:24" x14ac:dyDescent="0.35">
      <c r="X393" s="15"/>
    </row>
    <row r="394" spans="24:24" x14ac:dyDescent="0.35">
      <c r="X394" s="15"/>
    </row>
    <row r="395" spans="24:24" x14ac:dyDescent="0.35">
      <c r="X395" s="1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I43"/>
  <sheetViews>
    <sheetView zoomScale="55" zoomScaleNormal="55" workbookViewId="0"/>
  </sheetViews>
  <sheetFormatPr baseColWidth="10" defaultRowHeight="14.5" x14ac:dyDescent="0.35"/>
  <cols>
    <col min="2" max="2" width="12.453125" customWidth="1"/>
    <col min="3" max="3" width="13.7265625" customWidth="1"/>
    <col min="4" max="4" width="12.54296875" bestFit="1" customWidth="1"/>
    <col min="5" max="7" width="12.81640625" bestFit="1" customWidth="1"/>
    <col min="8" max="8" width="12" bestFit="1" customWidth="1"/>
  </cols>
  <sheetData>
    <row r="2" spans="1:9" ht="29" x14ac:dyDescent="0.35">
      <c r="A2" s="34" t="s">
        <v>50</v>
      </c>
      <c r="B2" s="34" t="s">
        <v>58</v>
      </c>
      <c r="C2" s="34" t="s">
        <v>63</v>
      </c>
      <c r="D2" s="34" t="s">
        <v>59</v>
      </c>
      <c r="E2" s="34" t="s">
        <v>56</v>
      </c>
      <c r="F2" s="34" t="s">
        <v>57</v>
      </c>
      <c r="G2" s="34" t="s">
        <v>53</v>
      </c>
      <c r="H2" s="34" t="s">
        <v>61</v>
      </c>
    </row>
    <row r="3" spans="1:9" x14ac:dyDescent="0.35">
      <c r="A3">
        <v>1</v>
      </c>
      <c r="B3" s="16">
        <f>+SUM(Amortizacion!Y2:Y7)</f>
        <v>5000000</v>
      </c>
      <c r="C3" s="16">
        <f>+SUM(Amortizacion!H2:H7)</f>
        <v>240895.14</v>
      </c>
      <c r="D3" s="20">
        <f>+SUM(Amortizacion!I2:I7)+SUM(Amortizacion!R2:R7)</f>
        <v>60796.156089898919</v>
      </c>
      <c r="E3" s="35">
        <f>-SUM(Amortizacion!O2:O7)</f>
        <v>0</v>
      </c>
      <c r="F3" s="35">
        <f>-SUM(Amortizacion!L2:L7)-SUM(Amortizacion!U2:U7)</f>
        <v>-1500000.0000000002</v>
      </c>
      <c r="G3" s="35">
        <f>-SUM(Amortizacion!AA2:AA7)</f>
        <v>-60796.156089898919</v>
      </c>
      <c r="H3" s="16">
        <f>+SUM(Amortizacion!AB2:AB7)</f>
        <v>0</v>
      </c>
      <c r="I3" s="1"/>
    </row>
    <row r="4" spans="1:9" x14ac:dyDescent="0.35">
      <c r="A4">
        <v>2</v>
      </c>
      <c r="B4" s="16">
        <f>+SUM(Amortizacion!Y8:Y13)</f>
        <v>0</v>
      </c>
      <c r="C4" s="16">
        <f>+SUM(Amortizacion!H8:H13)</f>
        <v>0</v>
      </c>
      <c r="D4" s="20">
        <f>+SUM(Amortizacion!I8:I13)+SUM(Amortizacion!R8:R13)</f>
        <v>188119.99982553444</v>
      </c>
      <c r="E4" s="35">
        <f>-SUM(Amortizacion!O8:O13)</f>
        <v>0</v>
      </c>
      <c r="F4" s="35">
        <f>-SUM(Amortizacion!L8:L13)-SUM(Amortizacion!U8:U13)</f>
        <v>-2451026.8745472217</v>
      </c>
      <c r="G4" s="35">
        <f>-SUM(Amortizacion!AA8:AA13)</f>
        <v>-188119.99982553444</v>
      </c>
      <c r="H4" s="16">
        <f>+SUM(Amortizacion!AB8:AB13)</f>
        <v>0</v>
      </c>
    </row>
    <row r="5" spans="1:9" x14ac:dyDescent="0.35">
      <c r="A5">
        <v>3</v>
      </c>
      <c r="B5" s="16">
        <f>+SUM(Amortizacion!Y14:Y19)</f>
        <v>0</v>
      </c>
      <c r="C5" s="16">
        <f>+SUM(Amortizacion!H14:H19)</f>
        <v>0</v>
      </c>
      <c r="D5" s="20">
        <f>+SUM(Amortizacion!I14:I19)+SUM(Amortizacion!R14:R19)</f>
        <v>29705.171733600153</v>
      </c>
      <c r="E5" s="35">
        <f>-SUM(Amortizacion!O14:O19)</f>
        <v>0</v>
      </c>
      <c r="F5" s="35">
        <f>-SUM(Amortizacion!L14:L19)-SUM(Amortizacion!U14:U19)</f>
        <v>-1289868.265452778</v>
      </c>
      <c r="G5" s="35">
        <f>-SUM(Amortizacion!AA14:AA19)</f>
        <v>-29705.171733600153</v>
      </c>
      <c r="H5" s="16">
        <f>+SUM(Amortizacion!AB14:AB19)</f>
        <v>0</v>
      </c>
    </row>
    <row r="6" spans="1:9" x14ac:dyDescent="0.35">
      <c r="A6">
        <v>4</v>
      </c>
      <c r="B6" s="16">
        <f>+SUM(Amortizacion!Y20:Y25)</f>
        <v>0</v>
      </c>
      <c r="C6" s="16">
        <f>+SUM(Amortizacion!H20:H25)</f>
        <v>0</v>
      </c>
      <c r="D6" s="20">
        <f>+SUM(Amortizacion!I20:I25)+SUM(Amortizacion!R20:R25)</f>
        <v>0</v>
      </c>
      <c r="E6" s="35">
        <f>-SUM(Amortizacion!O20:O25)</f>
        <v>0</v>
      </c>
      <c r="F6" s="35">
        <f>-SUM(Amortizacion!L20:L25)-SUM(Amortizacion!U20:U25)</f>
        <v>0</v>
      </c>
      <c r="G6" s="35">
        <f>-SUM(Amortizacion!AA20:AA25)</f>
        <v>0</v>
      </c>
      <c r="H6" s="16">
        <f>+SUM(Amortizacion!AB20:AB25)</f>
        <v>0</v>
      </c>
    </row>
    <row r="7" spans="1:9" x14ac:dyDescent="0.35">
      <c r="A7">
        <v>5</v>
      </c>
      <c r="B7" s="16">
        <f>+SUM(Amortizacion!Y26:Y31)</f>
        <v>0</v>
      </c>
      <c r="C7" s="16">
        <f>+SUM(Amortizacion!H26:H31)</f>
        <v>0</v>
      </c>
      <c r="D7" s="20">
        <f>+SUM(Amortizacion!I26:I31)+SUM(Amortizacion!R26:R31)</f>
        <v>0</v>
      </c>
      <c r="E7" s="35">
        <f>-SUM(Amortizacion!O26:O31)</f>
        <v>0</v>
      </c>
      <c r="F7" s="35">
        <f>-SUM(Amortizacion!L26:L31)-SUM(Amortizacion!U26:U31)</f>
        <v>0</v>
      </c>
      <c r="G7" s="35">
        <f>-SUM(Amortizacion!AA26:AA31)</f>
        <v>0</v>
      </c>
      <c r="H7" s="16">
        <f>+SUM(Amortizacion!AB26:AB31)</f>
        <v>0</v>
      </c>
    </row>
    <row r="8" spans="1:9" x14ac:dyDescent="0.35">
      <c r="A8">
        <v>6</v>
      </c>
      <c r="B8" s="16">
        <f>+SUM(Amortizacion!Y32:Y37)</f>
        <v>0</v>
      </c>
      <c r="C8" s="16">
        <f>+SUM(Amortizacion!H32:H37)</f>
        <v>0</v>
      </c>
      <c r="D8" s="20">
        <f>+SUM(Amortizacion!I32:I37)+SUM(Amortizacion!R32:R37)</f>
        <v>0</v>
      </c>
      <c r="E8" s="35">
        <f>-SUM(Amortizacion!O32:O37)</f>
        <v>0</v>
      </c>
      <c r="F8" s="35">
        <f>-SUM(Amortizacion!L32:L37)-SUM(Amortizacion!U32:U37)</f>
        <v>0</v>
      </c>
      <c r="G8" s="35">
        <f>-SUM(Amortizacion!AA32:AA37)</f>
        <v>0</v>
      </c>
      <c r="H8" s="16">
        <f>+SUM(Amortizacion!AB32:AB37)</f>
        <v>0</v>
      </c>
    </row>
    <row r="9" spans="1:9" x14ac:dyDescent="0.35">
      <c r="A9">
        <v>7</v>
      </c>
      <c r="B9" s="16">
        <f>+SUM(Amortizacion!Y38:Y43)</f>
        <v>0</v>
      </c>
      <c r="C9" s="16">
        <f>+SUM(Amortizacion!H38:H43)</f>
        <v>0</v>
      </c>
      <c r="D9" s="20">
        <f>+SUM(Amortizacion!I38:I43)+SUM(Amortizacion!R38:R43)</f>
        <v>0</v>
      </c>
      <c r="E9" s="35">
        <f>-SUM(Amortizacion!O38:O43)</f>
        <v>0</v>
      </c>
      <c r="F9" s="35">
        <f>-SUM(Amortizacion!L38:L43)-SUM(Amortizacion!U38:U43)</f>
        <v>0</v>
      </c>
      <c r="G9" s="35">
        <f>-SUM(Amortizacion!AA38:AA43)</f>
        <v>0</v>
      </c>
      <c r="H9" s="16">
        <f>+SUM(Amortizacion!AB38:AB43)</f>
        <v>0</v>
      </c>
    </row>
    <row r="10" spans="1:9" x14ac:dyDescent="0.35">
      <c r="A10">
        <v>8</v>
      </c>
      <c r="B10" s="16">
        <f>+SUM(Amortizacion!Y44:Y49)</f>
        <v>0</v>
      </c>
      <c r="C10" s="16">
        <f>+SUM(Amortizacion!H44:H49)</f>
        <v>0</v>
      </c>
      <c r="D10" s="20">
        <f>+SUM(Amortizacion!I44:I49)+SUM(Amortizacion!R44:R49)</f>
        <v>0</v>
      </c>
      <c r="E10" s="35">
        <f>-SUM(Amortizacion!O44:O49)</f>
        <v>0</v>
      </c>
      <c r="F10" s="35">
        <f>-SUM(Amortizacion!L44:L49)-SUM(Amortizacion!U44:U49)</f>
        <v>0</v>
      </c>
      <c r="G10" s="35">
        <f>-SUM(Amortizacion!AA44:AA49)</f>
        <v>0</v>
      </c>
      <c r="H10" s="16">
        <f>+SUM(Amortizacion!AB44:AB49)</f>
        <v>0</v>
      </c>
    </row>
    <row r="11" spans="1:9" x14ac:dyDescent="0.35">
      <c r="A11">
        <v>9</v>
      </c>
      <c r="B11" s="16">
        <f>+SUM(Amortizacion!Y50:Y55)</f>
        <v>0</v>
      </c>
      <c r="C11" s="16">
        <f>+SUM(Amortizacion!H50:H55)</f>
        <v>0</v>
      </c>
      <c r="D11" s="20">
        <f>+SUM(Amortizacion!I50:I55)+SUM(Amortizacion!R50:R55)</f>
        <v>0</v>
      </c>
      <c r="E11" s="35">
        <f>-SUM(Amortizacion!O50:O55)</f>
        <v>0</v>
      </c>
      <c r="F11" s="35">
        <f>-SUM(Amortizacion!L50:L55)-SUM(Amortizacion!U50:U55)</f>
        <v>0</v>
      </c>
      <c r="G11" s="35">
        <f>-SUM(Amortizacion!AA50:AA55)</f>
        <v>0</v>
      </c>
      <c r="H11" s="16">
        <f>+SUM(Amortizacion!AB50:AB55)</f>
        <v>0</v>
      </c>
    </row>
    <row r="12" spans="1:9" x14ac:dyDescent="0.35">
      <c r="A12">
        <v>10</v>
      </c>
      <c r="B12" s="16">
        <f>+SUM(Amortizacion!Y56:Y61)</f>
        <v>0</v>
      </c>
      <c r="C12" s="16">
        <f>+SUM(Amortizacion!H56:H61)</f>
        <v>0</v>
      </c>
      <c r="D12" s="20">
        <f>+SUM(Amortizacion!I56:I61)+SUM(Amortizacion!R56:R61)</f>
        <v>0</v>
      </c>
      <c r="E12" s="35">
        <f>-SUM(Amortizacion!O56:O61)</f>
        <v>0</v>
      </c>
      <c r="F12" s="35">
        <f>-SUM(Amortizacion!L56:L61)-SUM(Amortizacion!U56:U61)</f>
        <v>0</v>
      </c>
      <c r="G12" s="35">
        <f>-SUM(Amortizacion!AA56:AA61)</f>
        <v>0</v>
      </c>
      <c r="H12" s="16">
        <f>+SUM(Amortizacion!AB56:AB61)</f>
        <v>0</v>
      </c>
    </row>
    <row r="13" spans="1:9" x14ac:dyDescent="0.35">
      <c r="A13">
        <v>11</v>
      </c>
      <c r="B13" s="16">
        <f>+SUM(Amortizacion!Y62:Y67)</f>
        <v>0</v>
      </c>
      <c r="C13" s="16">
        <f>+SUM(Amortizacion!H62:H67)</f>
        <v>0</v>
      </c>
      <c r="D13" s="20">
        <f>+SUM(Amortizacion!I62:I67)+SUM(Amortizacion!R62:R67)</f>
        <v>0</v>
      </c>
      <c r="E13" s="35">
        <f>-SUM(Amortizacion!O62:O67)</f>
        <v>0</v>
      </c>
      <c r="F13" s="35">
        <f>-SUM(Amortizacion!L62:L67)-SUM(Amortizacion!U62:U67)</f>
        <v>0</v>
      </c>
      <c r="G13" s="35">
        <f>-SUM(Amortizacion!AA62:AA67)</f>
        <v>0</v>
      </c>
      <c r="H13" s="16">
        <f>+SUM(Amortizacion!AB62:AB67)</f>
        <v>0</v>
      </c>
    </row>
    <row r="14" spans="1:9" x14ac:dyDescent="0.35">
      <c r="A14">
        <v>12</v>
      </c>
      <c r="B14" s="16">
        <f>+SUM(Amortizacion!Y68:Y73)</f>
        <v>0</v>
      </c>
      <c r="C14" s="16">
        <f>+SUM(Amortizacion!H68:H73)</f>
        <v>0</v>
      </c>
      <c r="D14" s="20">
        <f>+SUM(Amortizacion!I68:I73)+SUM(Amortizacion!R68:R73)</f>
        <v>0</v>
      </c>
      <c r="E14" s="35">
        <f>-SUM(Amortizacion!O68:O73)</f>
        <v>0</v>
      </c>
      <c r="F14" s="35">
        <f>-SUM(Amortizacion!L68:L73)-SUM(Amortizacion!U68:U73)</f>
        <v>0</v>
      </c>
      <c r="G14" s="35">
        <f>-SUM(Amortizacion!AA68:AA73)</f>
        <v>0</v>
      </c>
      <c r="H14" s="16">
        <f>+SUM(Amortizacion!AB68:AB73)</f>
        <v>0</v>
      </c>
    </row>
    <row r="15" spans="1:9" x14ac:dyDescent="0.35">
      <c r="A15">
        <v>13</v>
      </c>
      <c r="B15" s="16">
        <f>+SUM(Amortizacion!Y74:Y79)</f>
        <v>0</v>
      </c>
      <c r="C15" s="16">
        <f>+SUM(Amortizacion!H74:H79)</f>
        <v>0</v>
      </c>
      <c r="D15" s="20">
        <f>+SUM(Amortizacion!I74:I79)+SUM(Amortizacion!R74:R79)</f>
        <v>0</v>
      </c>
      <c r="E15" s="35">
        <f>-SUM(Amortizacion!O74:O79)</f>
        <v>0</v>
      </c>
      <c r="F15" s="35">
        <f>-SUM(Amortizacion!L74:L79)-SUM(Amortizacion!U74:U79)</f>
        <v>0</v>
      </c>
      <c r="G15" s="35">
        <f>-SUM(Amortizacion!AA74:AA79)</f>
        <v>0</v>
      </c>
      <c r="H15" s="16">
        <f>+SUM(Amortizacion!AB74:AB79)</f>
        <v>0</v>
      </c>
    </row>
    <row r="16" spans="1:9" x14ac:dyDescent="0.35">
      <c r="A16">
        <v>14</v>
      </c>
      <c r="B16" s="16">
        <f>+SUM(Amortizacion!Y80:Y85)</f>
        <v>0</v>
      </c>
      <c r="C16" s="16">
        <f>+SUM(Amortizacion!H80:H85)</f>
        <v>0</v>
      </c>
      <c r="D16" s="20">
        <f>+SUM(Amortizacion!I80:I85)+SUM(Amortizacion!R80:R85)</f>
        <v>0</v>
      </c>
      <c r="E16" s="35">
        <f>-SUM(Amortizacion!O80:O85)</f>
        <v>0</v>
      </c>
      <c r="F16" s="35">
        <f>-SUM(Amortizacion!L80:L85)-SUM(Amortizacion!U80:U85)</f>
        <v>0</v>
      </c>
      <c r="G16" s="35">
        <f>-SUM(Amortizacion!AA80:AA85)</f>
        <v>0</v>
      </c>
      <c r="H16" s="16">
        <f>+SUM(Amortizacion!AB80:AB85)</f>
        <v>0</v>
      </c>
    </row>
    <row r="17" spans="1:8" x14ac:dyDescent="0.35">
      <c r="A17">
        <v>15</v>
      </c>
      <c r="B17" s="16">
        <f>+SUM(Amortizacion!Y86:Y91)</f>
        <v>0</v>
      </c>
      <c r="C17" s="16">
        <f>+SUM(Amortizacion!H86:H91)</f>
        <v>0</v>
      </c>
      <c r="D17" s="20">
        <f>+SUM(Amortizacion!I86:I91)+SUM(Amortizacion!R86:R91)</f>
        <v>0</v>
      </c>
      <c r="E17" s="35">
        <f>-SUM(Amortizacion!O86:O91)</f>
        <v>0</v>
      </c>
      <c r="F17" s="35">
        <f>-SUM(Amortizacion!L86:L91)-SUM(Amortizacion!U86:U91)</f>
        <v>0</v>
      </c>
      <c r="G17" s="35">
        <f>-SUM(Amortizacion!AA86:AA91)</f>
        <v>0</v>
      </c>
      <c r="H17" s="16">
        <f>+SUM(Amortizacion!AB86:AB91)</f>
        <v>0</v>
      </c>
    </row>
    <row r="18" spans="1:8" x14ac:dyDescent="0.35">
      <c r="A18">
        <v>16</v>
      </c>
      <c r="B18" s="16">
        <f>+SUM(Amortizacion!Y92:Y97)</f>
        <v>0</v>
      </c>
      <c r="C18" s="16">
        <f>+SUM(Amortizacion!H92:H97)</f>
        <v>0</v>
      </c>
      <c r="D18" s="20">
        <f>+SUM(Amortizacion!I92:I97)+SUM(Amortizacion!R92:R97)</f>
        <v>0</v>
      </c>
      <c r="E18" s="35">
        <f>-SUM(Amortizacion!O92:O97)</f>
        <v>0</v>
      </c>
      <c r="F18" s="35">
        <f>-SUM(Amortizacion!L92:L97)-SUM(Amortizacion!U92:U97)</f>
        <v>0</v>
      </c>
      <c r="G18" s="35">
        <f>-SUM(Amortizacion!AA92:AA97)</f>
        <v>0</v>
      </c>
      <c r="H18" s="16">
        <f>+SUM(Amortizacion!AB92:AB97)</f>
        <v>0</v>
      </c>
    </row>
    <row r="19" spans="1:8" x14ac:dyDescent="0.35">
      <c r="A19">
        <v>17</v>
      </c>
      <c r="B19" s="16">
        <f>+SUM(Amortizacion!Y98:Y103)</f>
        <v>0</v>
      </c>
      <c r="C19" s="16">
        <f>+SUM(Amortizacion!H98:H103)</f>
        <v>0</v>
      </c>
      <c r="D19" s="20">
        <f>+SUM(Amortizacion!I98:I103)+SUM(Amortizacion!R98:R103)</f>
        <v>0</v>
      </c>
      <c r="E19" s="35">
        <f>-SUM(Amortizacion!O98:O103)</f>
        <v>0</v>
      </c>
      <c r="F19" s="35">
        <f>-SUM(Amortizacion!L98:L103)-SUM(Amortizacion!U98:U103)</f>
        <v>0</v>
      </c>
      <c r="G19" s="35">
        <f>-SUM(Amortizacion!AA98:AA103)</f>
        <v>0</v>
      </c>
      <c r="H19" s="16">
        <f>+SUM(Amortizacion!AB98:AB103)</f>
        <v>0</v>
      </c>
    </row>
    <row r="20" spans="1:8" x14ac:dyDescent="0.35">
      <c r="A20">
        <v>18</v>
      </c>
      <c r="B20" s="16">
        <f>+SUM(Amortizacion!Y104:Y109)</f>
        <v>0</v>
      </c>
      <c r="C20" s="16">
        <f>+SUM(Amortizacion!H104:H109)</f>
        <v>0</v>
      </c>
      <c r="D20" s="20">
        <f>+SUM(Amortizacion!I104:I109)+SUM(Amortizacion!R104:R109)</f>
        <v>0</v>
      </c>
      <c r="E20" s="35">
        <f>-SUM(Amortizacion!O104:O109)</f>
        <v>0</v>
      </c>
      <c r="F20" s="35">
        <f>-SUM(Amortizacion!L104:L109)-SUM(Amortizacion!U104:U109)</f>
        <v>0</v>
      </c>
      <c r="G20" s="35">
        <f>-SUM(Amortizacion!AA104:AA109)</f>
        <v>0</v>
      </c>
      <c r="H20" s="16">
        <f>+SUM(Amortizacion!AB104:AB109)</f>
        <v>0</v>
      </c>
    </row>
    <row r="21" spans="1:8" x14ac:dyDescent="0.35">
      <c r="A21">
        <v>19</v>
      </c>
      <c r="B21" s="16">
        <f>+SUM(Amortizacion!Y110:Y115)</f>
        <v>0</v>
      </c>
      <c r="C21" s="16">
        <f>+SUM(Amortizacion!H110:H115)</f>
        <v>0</v>
      </c>
      <c r="D21" s="20">
        <f>+SUM(Amortizacion!I110:I115)+SUM(Amortizacion!R110:R115)</f>
        <v>0</v>
      </c>
      <c r="E21" s="35">
        <f>-SUM(Amortizacion!O110:O115)</f>
        <v>0</v>
      </c>
      <c r="F21" s="35">
        <f>-SUM(Amortizacion!L110:L115)-SUM(Amortizacion!U110:U115)</f>
        <v>0</v>
      </c>
      <c r="G21" s="35">
        <f>-SUM(Amortizacion!AA110:AA115)</f>
        <v>0</v>
      </c>
      <c r="H21" s="16">
        <f>+SUM(Amortizacion!AB110:AB115)</f>
        <v>0</v>
      </c>
    </row>
    <row r="22" spans="1:8" x14ac:dyDescent="0.35">
      <c r="A22">
        <v>20</v>
      </c>
      <c r="B22" s="16">
        <f>+SUM(Amortizacion!Y116:Y121)</f>
        <v>0</v>
      </c>
      <c r="C22" s="16">
        <f>+SUM(Amortizacion!H116:H121)</f>
        <v>0</v>
      </c>
      <c r="D22" s="20">
        <f>+SUM(Amortizacion!I116:I121)+SUM(Amortizacion!R116:R121)</f>
        <v>0</v>
      </c>
      <c r="E22" s="35">
        <f>-SUM(Amortizacion!O116:O121)</f>
        <v>0</v>
      </c>
      <c r="F22" s="35">
        <f>-SUM(Amortizacion!L116:L121)-SUM(Amortizacion!U116:U121)</f>
        <v>0</v>
      </c>
      <c r="G22" s="35">
        <f>-SUM(Amortizacion!AA116:AA121)</f>
        <v>0</v>
      </c>
      <c r="H22" s="16">
        <f>+SUM(Amortizacion!AB116:AB121)</f>
        <v>0</v>
      </c>
    </row>
    <row r="23" spans="1:8" x14ac:dyDescent="0.35">
      <c r="A23">
        <v>21</v>
      </c>
      <c r="B23" s="16">
        <f>+SUM(Amortizacion!Y122:Y127)</f>
        <v>0</v>
      </c>
      <c r="C23" s="16">
        <f>+SUM(Amortizacion!H122:H127)</f>
        <v>0</v>
      </c>
      <c r="D23" s="20">
        <f>+SUM(Amortizacion!I122:I127)+SUM(Amortizacion!R122:R127)</f>
        <v>0</v>
      </c>
      <c r="E23" s="35">
        <f>-SUM(Amortizacion!O122:O127)</f>
        <v>0</v>
      </c>
      <c r="F23" s="35">
        <f>-SUM(Amortizacion!L122:L127)-SUM(Amortizacion!U122:U127)</f>
        <v>0</v>
      </c>
      <c r="G23" s="35">
        <f>-SUM(Amortizacion!AA122:AA127)</f>
        <v>0</v>
      </c>
      <c r="H23" s="16">
        <f>+SUM(Amortizacion!AB122:AB127)</f>
        <v>0</v>
      </c>
    </row>
    <row r="24" spans="1:8" x14ac:dyDescent="0.35">
      <c r="A24">
        <v>22</v>
      </c>
      <c r="B24" s="16">
        <f>+SUM(Amortizacion!Y128:Y133)</f>
        <v>0</v>
      </c>
      <c r="C24" s="16">
        <f>+SUM(Amortizacion!H128:H133)</f>
        <v>0</v>
      </c>
      <c r="D24" s="20">
        <f>+SUM(Amortizacion!I128:I133)+SUM(Amortizacion!R128:R133)</f>
        <v>0</v>
      </c>
      <c r="E24" s="35">
        <f>-SUM(Amortizacion!O128:O133)</f>
        <v>0</v>
      </c>
      <c r="F24" s="35">
        <f>-SUM(Amortizacion!L128:L133)-SUM(Amortizacion!U128:U133)</f>
        <v>0</v>
      </c>
      <c r="G24" s="35">
        <f>-SUM(Amortizacion!AA128:AA133)</f>
        <v>0</v>
      </c>
      <c r="H24" s="16">
        <f>+SUM(Amortizacion!AB128:AB133)</f>
        <v>0</v>
      </c>
    </row>
    <row r="25" spans="1:8" x14ac:dyDescent="0.35">
      <c r="A25">
        <v>23</v>
      </c>
      <c r="B25" s="16">
        <f>+SUM(Amortizacion!Y134:Y139)</f>
        <v>0</v>
      </c>
      <c r="C25" s="16">
        <f>+SUM(Amortizacion!H134:H139)</f>
        <v>0</v>
      </c>
      <c r="D25" s="20">
        <f>+SUM(Amortizacion!I134:I139)+SUM(Amortizacion!R134:R139)</f>
        <v>0</v>
      </c>
      <c r="E25" s="35">
        <f>-SUM(Amortizacion!O134:O139)</f>
        <v>0</v>
      </c>
      <c r="F25" s="35">
        <f>-SUM(Amortizacion!L134:L139)-SUM(Amortizacion!U134:U139)</f>
        <v>0</v>
      </c>
      <c r="G25" s="35">
        <f>-SUM(Amortizacion!AA134:AA139)</f>
        <v>0</v>
      </c>
      <c r="H25" s="16">
        <f>+SUM(Amortizacion!AB134:AB139)</f>
        <v>0</v>
      </c>
    </row>
    <row r="26" spans="1:8" x14ac:dyDescent="0.35">
      <c r="A26">
        <v>24</v>
      </c>
      <c r="B26" s="16">
        <f>+SUM(Amortizacion!Y140:Y145)</f>
        <v>0</v>
      </c>
      <c r="C26" s="16">
        <f>+SUM(Amortizacion!H140:H145)</f>
        <v>0</v>
      </c>
      <c r="D26" s="20">
        <f>+SUM(Amortizacion!I140:I145)+SUM(Amortizacion!R140:R145)</f>
        <v>0</v>
      </c>
      <c r="E26" s="35">
        <f>-SUM(Amortizacion!O140:O145)</f>
        <v>0</v>
      </c>
      <c r="F26" s="35">
        <f>-SUM(Amortizacion!L140:L145)-SUM(Amortizacion!U140:U145)</f>
        <v>0</v>
      </c>
      <c r="G26" s="35">
        <f>-SUM(Amortizacion!AA140:AA145)</f>
        <v>0</v>
      </c>
      <c r="H26" s="16">
        <f>+SUM(Amortizacion!AB140:AB145)</f>
        <v>0</v>
      </c>
    </row>
    <row r="27" spans="1:8" x14ac:dyDescent="0.35">
      <c r="A27">
        <v>25</v>
      </c>
      <c r="B27" s="16">
        <f>+SUM(Amortizacion!Y146:Y151)</f>
        <v>0</v>
      </c>
      <c r="C27" s="16">
        <f>+SUM(Amortizacion!H146:H151)</f>
        <v>0</v>
      </c>
      <c r="D27" s="20">
        <f>+SUM(Amortizacion!I146:I151)+SUM(Amortizacion!R146:R151)</f>
        <v>0</v>
      </c>
      <c r="E27" s="35">
        <f>-SUM(Amortizacion!O146:O151)</f>
        <v>0</v>
      </c>
      <c r="F27" s="35">
        <f>-SUM(Amortizacion!L146:L151)-SUM(Amortizacion!U146:U151)</f>
        <v>0</v>
      </c>
      <c r="G27" s="35">
        <f>-SUM(Amortizacion!AA146:AA151)</f>
        <v>0</v>
      </c>
      <c r="H27" s="16">
        <f>+SUM(Amortizacion!AB146:AB151)</f>
        <v>0</v>
      </c>
    </row>
    <row r="28" spans="1:8" x14ac:dyDescent="0.35">
      <c r="A28">
        <v>26</v>
      </c>
      <c r="B28" s="16">
        <f>+SUM(Amortizacion!Y152:Y157)</f>
        <v>0</v>
      </c>
      <c r="C28" s="16">
        <f>+SUM(Amortizacion!H152:H157)</f>
        <v>0</v>
      </c>
      <c r="D28" s="20">
        <f>+SUM(Amortizacion!I152:I157)+SUM(Amortizacion!R152:R157)</f>
        <v>0</v>
      </c>
      <c r="E28" s="35">
        <f>-SUM(Amortizacion!O152:O157)</f>
        <v>0</v>
      </c>
      <c r="F28" s="35">
        <f>-SUM(Amortizacion!L152:L157)-SUM(Amortizacion!U152:U157)</f>
        <v>0</v>
      </c>
      <c r="G28" s="35">
        <f>-SUM(Amortizacion!AA152:AA157)</f>
        <v>0</v>
      </c>
      <c r="H28" s="16">
        <f>+SUM(Amortizacion!AB152:AB157)</f>
        <v>0</v>
      </c>
    </row>
    <row r="29" spans="1:8" x14ac:dyDescent="0.35">
      <c r="A29">
        <v>27</v>
      </c>
      <c r="B29" s="16">
        <f>+SUM(Amortizacion!Y158:Y163)</f>
        <v>0</v>
      </c>
      <c r="C29" s="16">
        <f>+SUM(Amortizacion!H158:H163)</f>
        <v>0</v>
      </c>
      <c r="D29" s="20">
        <f>+SUM(Amortizacion!I158:I163)+SUM(Amortizacion!R158:R163)</f>
        <v>0</v>
      </c>
      <c r="E29" s="35">
        <f>-SUM(Amortizacion!O158:O163)</f>
        <v>0</v>
      </c>
      <c r="F29" s="35">
        <f>-SUM(Amortizacion!L158:L163)-SUM(Amortizacion!U158:U163)</f>
        <v>0</v>
      </c>
      <c r="G29" s="35">
        <f>-SUM(Amortizacion!AA158:AA163)</f>
        <v>0</v>
      </c>
      <c r="H29" s="16">
        <f>+SUM(Amortizacion!AB158:AB163)</f>
        <v>0</v>
      </c>
    </row>
    <row r="30" spans="1:8" x14ac:dyDescent="0.35">
      <c r="A30">
        <v>28</v>
      </c>
      <c r="B30" s="16">
        <f>+SUM(Amortizacion!Y164:Y169)</f>
        <v>0</v>
      </c>
      <c r="C30" s="16">
        <f>+SUM(Amortizacion!H164:H169)</f>
        <v>0</v>
      </c>
      <c r="D30" s="20">
        <f>+SUM(Amortizacion!I164:I169)+SUM(Amortizacion!R164:R169)</f>
        <v>0</v>
      </c>
      <c r="E30" s="35">
        <f>-SUM(Amortizacion!O164:O169)</f>
        <v>0</v>
      </c>
      <c r="F30" s="35">
        <f>-SUM(Amortizacion!L164:L169)-SUM(Amortizacion!U164:U169)</f>
        <v>0</v>
      </c>
      <c r="G30" s="35">
        <f>-SUM(Amortizacion!AA164:AA169)</f>
        <v>0</v>
      </c>
      <c r="H30" s="16">
        <f>+SUM(Amortizacion!AB164:AB169)</f>
        <v>0</v>
      </c>
    </row>
    <row r="31" spans="1:8" x14ac:dyDescent="0.35">
      <c r="A31">
        <v>29</v>
      </c>
      <c r="B31" s="16">
        <f>+SUM(Amortizacion!Y170:Y175)</f>
        <v>0</v>
      </c>
      <c r="C31" s="16">
        <f>+SUM(Amortizacion!H170:H175)</f>
        <v>0</v>
      </c>
      <c r="D31" s="20">
        <f>+SUM(Amortizacion!I170:I175)+SUM(Amortizacion!R170:R175)</f>
        <v>0</v>
      </c>
      <c r="E31" s="35">
        <f>-SUM(Amortizacion!O170:O175)</f>
        <v>0</v>
      </c>
      <c r="F31" s="35">
        <f>-SUM(Amortizacion!L170:L175)-SUM(Amortizacion!U170:U175)</f>
        <v>0</v>
      </c>
      <c r="G31" s="35">
        <f>-SUM(Amortizacion!AA170:AA175)</f>
        <v>0</v>
      </c>
      <c r="H31" s="16">
        <f>+SUM(Amortizacion!AB170:AB175)</f>
        <v>0</v>
      </c>
    </row>
    <row r="32" spans="1:8" x14ac:dyDescent="0.35">
      <c r="A32">
        <v>30</v>
      </c>
      <c r="B32" s="16">
        <f>+SUM(Amortizacion!Y176:Y181)</f>
        <v>0</v>
      </c>
      <c r="C32" s="16">
        <f>+SUM(Amortizacion!H176:H181)</f>
        <v>0</v>
      </c>
      <c r="D32" s="20">
        <f>+SUM(Amortizacion!I176:I181)+SUM(Amortizacion!R176:R181)</f>
        <v>0</v>
      </c>
      <c r="E32" s="35">
        <f>-SUM(Amortizacion!O176:O181)</f>
        <v>0</v>
      </c>
      <c r="F32" s="35">
        <f>-SUM(Amortizacion!L176:L181)-SUM(Amortizacion!U176:U181)</f>
        <v>0</v>
      </c>
      <c r="G32" s="35">
        <f>-SUM(Amortizacion!AA176:AA181)</f>
        <v>0</v>
      </c>
      <c r="H32" s="16">
        <f>+SUM(Amortizacion!AB176:AB181)</f>
        <v>0</v>
      </c>
    </row>
    <row r="33" spans="1:8" x14ac:dyDescent="0.35">
      <c r="A33">
        <v>31</v>
      </c>
      <c r="B33" s="16">
        <f>+SUM(Amortizacion!Y182:Y187)</f>
        <v>0</v>
      </c>
      <c r="C33" s="16">
        <f>+SUM(Amortizacion!H182:H187)</f>
        <v>0</v>
      </c>
      <c r="D33" s="20">
        <f>+SUM(Amortizacion!I182:I187)+SUM(Amortizacion!R182:R187)</f>
        <v>0</v>
      </c>
      <c r="E33" s="35">
        <f>-SUM(Amortizacion!O182:O187)</f>
        <v>0</v>
      </c>
      <c r="F33" s="35">
        <f>-SUM(Amortizacion!L182:L187)-SUM(Amortizacion!U182:U187)</f>
        <v>0</v>
      </c>
      <c r="G33" s="35">
        <f>-SUM(Amortizacion!AA182:AA187)</f>
        <v>0</v>
      </c>
      <c r="H33" s="16">
        <f>+SUM(Amortizacion!AB182:AB187)</f>
        <v>0</v>
      </c>
    </row>
    <row r="34" spans="1:8" x14ac:dyDescent="0.35">
      <c r="A34">
        <v>32</v>
      </c>
      <c r="B34" s="16">
        <f>+SUM(Amortizacion!Y188:Y193)</f>
        <v>0</v>
      </c>
      <c r="C34" s="16">
        <f>+SUM(Amortizacion!H188:H193)</f>
        <v>0</v>
      </c>
      <c r="D34" s="20">
        <f>+SUM(Amortizacion!I188:I193)+SUM(Amortizacion!R188:R193)</f>
        <v>0</v>
      </c>
      <c r="E34" s="35">
        <f>-SUM(Amortizacion!O188:O193)</f>
        <v>0</v>
      </c>
      <c r="F34" s="35">
        <f>-SUM(Amortizacion!L188:L193)-SUM(Amortizacion!U188:U193)</f>
        <v>0</v>
      </c>
      <c r="G34" s="35">
        <f>-SUM(Amortizacion!AA188:AA193)</f>
        <v>0</v>
      </c>
      <c r="H34" s="16">
        <f>+SUM(Amortizacion!AB188:AB193)</f>
        <v>0</v>
      </c>
    </row>
    <row r="35" spans="1:8" x14ac:dyDescent="0.35">
      <c r="A35">
        <v>33</v>
      </c>
      <c r="B35" s="16">
        <f>+SUM(Amortizacion!Y194:Y199)</f>
        <v>0</v>
      </c>
      <c r="C35" s="16">
        <f>+SUM(Amortizacion!H194:H199)</f>
        <v>0</v>
      </c>
      <c r="D35" s="20">
        <f>+SUM(Amortizacion!I194:I199)+SUM(Amortizacion!R194:R199)</f>
        <v>0</v>
      </c>
      <c r="E35" s="35">
        <f>-SUM(Amortizacion!O194:O199)</f>
        <v>0</v>
      </c>
      <c r="F35" s="35">
        <f>-SUM(Amortizacion!L194:L199)-SUM(Amortizacion!U194:U199)</f>
        <v>0</v>
      </c>
      <c r="G35" s="35">
        <f>-SUM(Amortizacion!AA194:AA199)</f>
        <v>0</v>
      </c>
      <c r="H35" s="16">
        <f>+SUM(Amortizacion!AB194:AB199)</f>
        <v>0</v>
      </c>
    </row>
    <row r="36" spans="1:8" x14ac:dyDescent="0.35">
      <c r="A36">
        <v>34</v>
      </c>
      <c r="B36" s="16">
        <f>+SUM(Amortizacion!Y200:Y205)</f>
        <v>0</v>
      </c>
      <c r="C36" s="16">
        <f>+SUM(Amortizacion!H200:H205)</f>
        <v>0</v>
      </c>
      <c r="D36" s="20">
        <f>+SUM(Amortizacion!I200:I205)+SUM(Amortizacion!R200:R205)</f>
        <v>0</v>
      </c>
      <c r="E36" s="35">
        <f>-SUM(Amortizacion!O200:O205)</f>
        <v>0</v>
      </c>
      <c r="F36" s="35">
        <f>-SUM(Amortizacion!L200:L205)-SUM(Amortizacion!U200:U205)</f>
        <v>0</v>
      </c>
      <c r="G36" s="35">
        <f>-SUM(Amortizacion!AA200:AA205)</f>
        <v>0</v>
      </c>
      <c r="H36" s="16">
        <f>+SUM(Amortizacion!AB200:AB205)</f>
        <v>0</v>
      </c>
    </row>
    <row r="37" spans="1:8" x14ac:dyDescent="0.35">
      <c r="A37">
        <v>35</v>
      </c>
      <c r="B37" s="16">
        <f>+SUM(Amortizacion!Y206:Y211)</f>
        <v>0</v>
      </c>
      <c r="C37" s="16">
        <f>+SUM(Amortizacion!H206:H211)</f>
        <v>0</v>
      </c>
      <c r="D37" s="20">
        <f>+SUM(Amortizacion!I206:I211)+SUM(Amortizacion!R206:R211)</f>
        <v>0</v>
      </c>
      <c r="E37" s="35">
        <f>-SUM(Amortizacion!O206:O211)</f>
        <v>0</v>
      </c>
      <c r="F37" s="35">
        <f>-SUM(Amortizacion!L206:L211)-SUM(Amortizacion!U206:U211)</f>
        <v>0</v>
      </c>
      <c r="G37" s="35">
        <f>-SUM(Amortizacion!AA206:AA211)</f>
        <v>0</v>
      </c>
      <c r="H37" s="16">
        <f>+SUM(Amortizacion!AB206:AB211)</f>
        <v>0</v>
      </c>
    </row>
    <row r="38" spans="1:8" x14ac:dyDescent="0.35">
      <c r="A38">
        <v>36</v>
      </c>
      <c r="B38" s="16">
        <f>+SUM(Amortizacion!Y212:Y217)</f>
        <v>0</v>
      </c>
      <c r="C38" s="16">
        <f>+SUM(Amortizacion!H212:H217)</f>
        <v>0</v>
      </c>
      <c r="D38" s="20">
        <f>+SUM(Amortizacion!I212:I217)+SUM(Amortizacion!R212:R217)</f>
        <v>0</v>
      </c>
      <c r="E38" s="35">
        <f>-SUM(Amortizacion!O212:O217)</f>
        <v>0</v>
      </c>
      <c r="F38" s="35">
        <f>-SUM(Amortizacion!L212:L217)-SUM(Amortizacion!U212:U217)</f>
        <v>0</v>
      </c>
      <c r="G38" s="35">
        <f>-SUM(Amortizacion!AA212:AA217)</f>
        <v>0</v>
      </c>
      <c r="H38" s="16">
        <f>+SUM(Amortizacion!AB212:AB217)</f>
        <v>0</v>
      </c>
    </row>
    <row r="39" spans="1:8" x14ac:dyDescent="0.35">
      <c r="A39">
        <v>37</v>
      </c>
      <c r="B39" s="16">
        <f>+SUM(Amortizacion!Y218:Y223)</f>
        <v>0</v>
      </c>
      <c r="C39" s="16">
        <f>+SUM(Amortizacion!H218:H223)</f>
        <v>0</v>
      </c>
      <c r="D39" s="20">
        <f>+SUM(Amortizacion!I218:I223)+SUM(Amortizacion!R218:R223)</f>
        <v>0</v>
      </c>
      <c r="E39" s="35">
        <f>-SUM(Amortizacion!O218:O223)</f>
        <v>0</v>
      </c>
      <c r="F39" s="35">
        <f>-SUM(Amortizacion!L218:L223)-SUM(Amortizacion!U218:U223)</f>
        <v>0</v>
      </c>
      <c r="G39" s="35">
        <f>-SUM(Amortizacion!AA218:AA223)</f>
        <v>0</v>
      </c>
      <c r="H39" s="16">
        <f>+SUM(Amortizacion!AB218:AB223)</f>
        <v>0</v>
      </c>
    </row>
    <row r="40" spans="1:8" x14ac:dyDescent="0.35">
      <c r="A40">
        <v>38</v>
      </c>
      <c r="B40" s="16">
        <f>+SUM(Amortizacion!Y224:Y229)</f>
        <v>0</v>
      </c>
      <c r="C40" s="16">
        <f>+SUM(Amortizacion!H224:H229)</f>
        <v>0</v>
      </c>
      <c r="D40" s="20">
        <f>+SUM(Amortizacion!I224:I229)+SUM(Amortizacion!R224:R229)</f>
        <v>0</v>
      </c>
      <c r="E40" s="35">
        <f>-SUM(Amortizacion!O224:O229)</f>
        <v>0</v>
      </c>
      <c r="F40" s="35">
        <f>-SUM(Amortizacion!L224:L229)-SUM(Amortizacion!U224:U229)</f>
        <v>0</v>
      </c>
      <c r="G40" s="35">
        <f>-SUM(Amortizacion!AA224:AA229)</f>
        <v>0</v>
      </c>
      <c r="H40" s="16">
        <f>+SUM(Amortizacion!AB224:AB229)</f>
        <v>0</v>
      </c>
    </row>
    <row r="41" spans="1:8" x14ac:dyDescent="0.35">
      <c r="B41" s="16">
        <f>+SUM(B3:B40)</f>
        <v>5000000</v>
      </c>
      <c r="C41" s="16">
        <f>+SUM(C3:C40)</f>
        <v>240895.14</v>
      </c>
      <c r="D41" s="16">
        <f t="shared" ref="D41:H41" si="0">+SUM(D3:D40)</f>
        <v>278621.32764903351</v>
      </c>
      <c r="E41" s="35">
        <f>+SUM(E3:E40)</f>
        <v>0</v>
      </c>
      <c r="F41" s="35">
        <f t="shared" si="0"/>
        <v>-5240895.1399999997</v>
      </c>
      <c r="G41" s="35">
        <f t="shared" si="0"/>
        <v>-278621.32764903351</v>
      </c>
      <c r="H41" s="35">
        <f t="shared" si="0"/>
        <v>0</v>
      </c>
    </row>
    <row r="43" spans="1:8" x14ac:dyDescent="0.35">
      <c r="D43" s="16">
        <f>+SUM(B41:D41)</f>
        <v>5519516.4676490333</v>
      </c>
      <c r="G43" s="35">
        <f>+G41+F41</f>
        <v>-5519516.4676490333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emplate/>
  <TotalTime>0</TotalTime>
  <Application/>
  <DocSecurity>0</DocSecurity>
  <ScaleCrop>false</ScaleCrop>
  <HeadingPairs>
    <vt:vector baseType="variant" size="4">
      <vt:variant>
        <vt:lpstr>Hojas de cálculo</vt:lpstr>
      </vt:variant>
      <vt:variant>
        <vt:i4>4</vt:i4>
      </vt:variant>
      <vt:variant>
        <vt:lpstr>Rangos con nombre</vt:lpstr>
      </vt:variant>
      <vt:variant>
        <vt:i4>2</vt:i4>
      </vt:variant>
    </vt:vector>
  </HeadingPairs>
  <TitlesOfParts>
    <vt:vector baseType="lpstr" size="6">
      <vt:lpstr>Resumen</vt:lpstr>
      <vt:lpstr>Valores Mensuales</vt:lpstr>
      <vt:lpstr>Amortizacion</vt:lpstr>
      <vt:lpstr>Graf</vt:lpstr>
      <vt:lpstr>Resumen!Área_de_impresión</vt:lpstr>
      <vt:lpstr>Incmat</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cp:revision>0</cp:revision>
</cp:coreProperties>
</file>