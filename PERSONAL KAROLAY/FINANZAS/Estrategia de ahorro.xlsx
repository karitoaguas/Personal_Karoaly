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PERSONAL KAROLAY\FINANZAS\"/>
    </mc:Choice>
  </mc:AlternateContent>
  <xr:revisionPtr revIDLastSave="0" documentId="8_{2A54E2F3-B43D-4938-9B4E-8077A098538C}" xr6:coauthVersionLast="47" xr6:coauthVersionMax="47" xr10:uidLastSave="{00000000-0000-0000-0000-000000000000}"/>
  <bookViews>
    <workbookView xWindow="-120" yWindow="-120" windowWidth="20730" windowHeight="11160" xr2:uid="{AEDEA920-4F93-4FB0-93BF-73A7036277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1" l="1"/>
  <c r="B38" i="1"/>
  <c r="B40" i="1"/>
  <c r="B39" i="1"/>
  <c r="B34" i="1"/>
  <c r="B19" i="1"/>
  <c r="B8" i="1"/>
</calcChain>
</file>

<file path=xl/sharedStrings.xml><?xml version="1.0" encoding="utf-8"?>
<sst xmlns="http://schemas.openxmlformats.org/spreadsheetml/2006/main" count="38" uniqueCount="32">
  <si>
    <t xml:space="preserve"> PRESUPUESTO MENSUAL - OBJETIVO: AHORRO PARA EL CARRO</t>
  </si>
  <si>
    <t>1. TUS INGRESOS MENSUALES</t>
  </si>
  <si>
    <t>Concepto</t>
  </si>
  <si>
    <t>Salario Neto (después de deducciones)</t>
  </si>
  <si>
    <t>Otros Ingresos (freelance, extras, etc.)</t>
  </si>
  <si>
    <t>TOTAL INGRESOS MENSUALES</t>
  </si>
  <si>
    <t>Valor (COP)</t>
  </si>
  <si>
    <t>2. TUS GASTOS MENSUALES</t>
  </si>
  <si>
    <t>A. Gastos Fijos (obligatorios y que no varían mucho)</t>
  </si>
  <si>
    <t>Cuota Bancolombia (después de compra de cartera)</t>
  </si>
  <si>
    <t>Arriendo</t>
  </si>
  <si>
    <t>Plan de Celular</t>
  </si>
  <si>
    <t>Suscripciones (Netflix, Spotify, gimnasio, software, etc.)</t>
  </si>
  <si>
    <t>Educación (cuotas, cursos fijos)</t>
  </si>
  <si>
    <t>TOTAL GASTOS FIJOS</t>
  </si>
  <si>
    <t>B. Gastos Variables (cambian cada mes y donde hay mayor oportunidad de ahorro)</t>
  </si>
  <si>
    <t>Mercado (comida, productos de aseo para el hogar)</t>
  </si>
  <si>
    <t>Comida Fuera / Domicilios</t>
  </si>
  <si>
    <t>Transporte (pasajes, gasolina, taxis/apps</t>
  </si>
  <si>
    <t>Cuidado Personal (peluquería, cosméticos, etc.)</t>
  </si>
  <si>
    <t>Salud (medicamentos no cubiertos, consultas)</t>
  </si>
  <si>
    <t>Entretenimiento / Ocio (salidas, cine, eventos)</t>
  </si>
  <si>
    <t>Ropa y Calzado</t>
  </si>
  <si>
    <t>Mascota (alimento, veterinario, juguetes, etc.)</t>
  </si>
  <si>
    <t>Regalos / Donaciones</t>
  </si>
  <si>
    <t>Varios / Imprevistos (cosas que surgen, compras pequeñas)</t>
  </si>
  <si>
    <t>TOTAL GASTOS VARIABLES</t>
  </si>
  <si>
    <t>3. RESUMEN Y CAPACIDAD DE AHORRO</t>
  </si>
  <si>
    <t>Total Ingresos Mensuales</t>
  </si>
  <si>
    <t>Menos Total Gastos Fijos</t>
  </si>
  <si>
    <t>Menos Total Gastos Variables</t>
  </si>
  <si>
    <t>DINERO DISPONIBLE PARA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</si>
</sst>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0" fillId="0" borderId="5" xfId="0" applyBorder="1"/>
    <xf numFmtId="0" fontId="0" fillId="0" borderId="6" xfId="0" applyBorder="1"/>
    <xf numFmtId="3" fontId="1" fillId="0" borderId="2" xfId="0" applyNumberFormat="1" applyFont="1" applyBorder="1"/>
    <xf numFmtId="0" fontId="1" fillId="0" borderId="7" xfId="0" applyFont="1" applyBorder="1"/>
    <xf numFmtId="0" fontId="0" fillId="0" borderId="1" xfId="0" applyFont="1" applyBorder="1"/>
    <xf numFmtId="3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FD56-AC61-497E-A3F5-39D8101D6FD8}">
  <dimension ref="A1:B42"/>
  <sheetViews>
    <sheetView tabSelected="1" zoomScale="98" zoomScaleNormal="98" workbookViewId="0">
      <selection activeCell="B17" sqref="B17"/>
    </sheetView>
  </sheetViews>
  <sheetFormatPr baseColWidth="10" defaultRowHeight="15" x14ac:dyDescent="0.25"/>
  <cols>
    <col min="1" max="1" width="76.28515625" customWidth="1"/>
    <col min="2" max="2" width="11.85546875" bestFit="1" customWidth="1"/>
  </cols>
  <sheetData>
    <row r="1" spans="1:2" ht="15.75" thickBot="1" x14ac:dyDescent="0.3">
      <c r="A1" s="5" t="s">
        <v>0</v>
      </c>
      <c r="B1" s="3"/>
    </row>
    <row r="2" spans="1:2" x14ac:dyDescent="0.25">
      <c r="A2" s="4"/>
      <c r="B2" s="1"/>
    </row>
    <row r="3" spans="1:2" x14ac:dyDescent="0.25">
      <c r="A3" s="1" t="s">
        <v>1</v>
      </c>
      <c r="B3" s="1"/>
    </row>
    <row r="4" spans="1:2" x14ac:dyDescent="0.25">
      <c r="A4" s="1" t="s">
        <v>2</v>
      </c>
      <c r="B4" s="1" t="s">
        <v>6</v>
      </c>
    </row>
    <row r="5" spans="1:2" x14ac:dyDescent="0.25">
      <c r="A5" s="1" t="s">
        <v>3</v>
      </c>
      <c r="B5" s="2">
        <v>3700000</v>
      </c>
    </row>
    <row r="6" spans="1:2" x14ac:dyDescent="0.25">
      <c r="A6" s="1" t="s">
        <v>4</v>
      </c>
      <c r="B6" s="1">
        <v>0</v>
      </c>
    </row>
    <row r="7" spans="1:2" ht="15.75" thickBot="1" x14ac:dyDescent="0.3">
      <c r="A7" s="6"/>
      <c r="B7" s="6"/>
    </row>
    <row r="8" spans="1:2" ht="15.75" thickBot="1" x14ac:dyDescent="0.3">
      <c r="A8" s="5" t="s">
        <v>5</v>
      </c>
      <c r="B8" s="8">
        <f>SUM(B5:B6)</f>
        <v>3700000</v>
      </c>
    </row>
    <row r="9" spans="1:2" x14ac:dyDescent="0.25">
      <c r="A9" s="7"/>
      <c r="B9" s="4"/>
    </row>
    <row r="10" spans="1:2" x14ac:dyDescent="0.25">
      <c r="A10" s="10" t="s">
        <v>7</v>
      </c>
      <c r="B10" s="3"/>
    </row>
    <row r="11" spans="1:2" x14ac:dyDescent="0.25">
      <c r="A11" s="4" t="s">
        <v>8</v>
      </c>
      <c r="B11" s="1"/>
    </row>
    <row r="12" spans="1:2" x14ac:dyDescent="0.25">
      <c r="A12" s="1" t="s">
        <v>2</v>
      </c>
      <c r="B12" s="1" t="s">
        <v>6</v>
      </c>
    </row>
    <row r="13" spans="1:2" x14ac:dyDescent="0.25">
      <c r="A13" s="1" t="s">
        <v>9</v>
      </c>
      <c r="B13" s="2">
        <v>800000</v>
      </c>
    </row>
    <row r="14" spans="1:2" x14ac:dyDescent="0.25">
      <c r="A14" s="1" t="s">
        <v>10</v>
      </c>
      <c r="B14" s="2">
        <v>1100000</v>
      </c>
    </row>
    <row r="15" spans="1:2" x14ac:dyDescent="0.25">
      <c r="A15" s="1" t="s">
        <v>11</v>
      </c>
      <c r="B15" s="2">
        <v>46000</v>
      </c>
    </row>
    <row r="16" spans="1:2" x14ac:dyDescent="0.25">
      <c r="A16" s="1" t="s">
        <v>12</v>
      </c>
      <c r="B16" s="2">
        <v>30000</v>
      </c>
    </row>
    <row r="17" spans="1:2" x14ac:dyDescent="0.25">
      <c r="A17" s="1" t="s">
        <v>13</v>
      </c>
      <c r="B17" s="2">
        <v>200000</v>
      </c>
    </row>
    <row r="18" spans="1:2" ht="15.75" thickBot="1" x14ac:dyDescent="0.3">
      <c r="A18" s="6"/>
      <c r="B18" s="6"/>
    </row>
    <row r="19" spans="1:2" ht="15.75" thickBot="1" x14ac:dyDescent="0.3">
      <c r="A19" s="5" t="s">
        <v>14</v>
      </c>
      <c r="B19" s="5">
        <f>SUM(B13:B17)</f>
        <v>2176000</v>
      </c>
    </row>
    <row r="20" spans="1:2" x14ac:dyDescent="0.25">
      <c r="A20" s="4"/>
      <c r="B20" s="4"/>
    </row>
    <row r="21" spans="1:2" x14ac:dyDescent="0.25">
      <c r="A21" s="1" t="s">
        <v>15</v>
      </c>
      <c r="B21" s="1"/>
    </row>
    <row r="22" spans="1:2" x14ac:dyDescent="0.25">
      <c r="A22" s="1" t="s">
        <v>2</v>
      </c>
      <c r="B22" s="1" t="s">
        <v>6</v>
      </c>
    </row>
    <row r="23" spans="1:2" x14ac:dyDescent="0.25">
      <c r="A23" s="1" t="s">
        <v>16</v>
      </c>
      <c r="B23" s="2">
        <v>400000</v>
      </c>
    </row>
    <row r="24" spans="1:2" x14ac:dyDescent="0.25">
      <c r="A24" s="1" t="s">
        <v>17</v>
      </c>
      <c r="B24" s="2">
        <v>100000</v>
      </c>
    </row>
    <row r="25" spans="1:2" x14ac:dyDescent="0.25">
      <c r="A25" s="1" t="s">
        <v>18</v>
      </c>
      <c r="B25" s="2">
        <v>100000</v>
      </c>
    </row>
    <row r="26" spans="1:2" x14ac:dyDescent="0.25">
      <c r="A26" s="1" t="s">
        <v>19</v>
      </c>
      <c r="B26" s="2">
        <v>60000</v>
      </c>
    </row>
    <row r="27" spans="1:2" x14ac:dyDescent="0.25">
      <c r="A27" s="1" t="s">
        <v>20</v>
      </c>
      <c r="B27" s="2">
        <v>15000</v>
      </c>
    </row>
    <row r="28" spans="1:2" x14ac:dyDescent="0.25">
      <c r="A28" s="1" t="s">
        <v>21</v>
      </c>
      <c r="B28" s="2">
        <v>50000</v>
      </c>
    </row>
    <row r="29" spans="1:2" x14ac:dyDescent="0.25">
      <c r="A29" s="1" t="s">
        <v>22</v>
      </c>
      <c r="B29" s="2">
        <v>80000</v>
      </c>
    </row>
    <row r="30" spans="1:2" x14ac:dyDescent="0.25">
      <c r="A30" s="1" t="s">
        <v>23</v>
      </c>
      <c r="B30" s="2">
        <v>100000</v>
      </c>
    </row>
    <row r="31" spans="1:2" x14ac:dyDescent="0.25">
      <c r="A31" s="1" t="s">
        <v>24</v>
      </c>
      <c r="B31" s="1">
        <v>0</v>
      </c>
    </row>
    <row r="32" spans="1:2" x14ac:dyDescent="0.25">
      <c r="A32" s="1" t="s">
        <v>25</v>
      </c>
      <c r="B32" s="2">
        <v>50000</v>
      </c>
    </row>
    <row r="33" spans="1:2" ht="15.75" thickBot="1" x14ac:dyDescent="0.3">
      <c r="A33" s="6"/>
      <c r="B33" s="6"/>
    </row>
    <row r="34" spans="1:2" ht="15.75" thickBot="1" x14ac:dyDescent="0.3">
      <c r="A34" s="5" t="s">
        <v>26</v>
      </c>
      <c r="B34" s="5">
        <f>SUM(B23:B32)</f>
        <v>955000</v>
      </c>
    </row>
    <row r="35" spans="1:2" x14ac:dyDescent="0.25">
      <c r="A35" s="4"/>
      <c r="B35" s="4"/>
    </row>
    <row r="36" spans="1:2" x14ac:dyDescent="0.25">
      <c r="A36" s="1" t="s">
        <v>27</v>
      </c>
      <c r="B36" s="1"/>
    </row>
    <row r="37" spans="1:2" x14ac:dyDescent="0.25">
      <c r="A37" s="1" t="s">
        <v>2</v>
      </c>
      <c r="B37" s="1" t="s">
        <v>6</v>
      </c>
    </row>
    <row r="38" spans="1:2" x14ac:dyDescent="0.25">
      <c r="A38" s="1" t="s">
        <v>28</v>
      </c>
      <c r="B38" s="2">
        <f>B8</f>
        <v>3700000</v>
      </c>
    </row>
    <row r="39" spans="1:2" x14ac:dyDescent="0.25">
      <c r="A39" s="1" t="s">
        <v>29</v>
      </c>
      <c r="B39" s="1">
        <f>-B19</f>
        <v>-2176000</v>
      </c>
    </row>
    <row r="40" spans="1:2" x14ac:dyDescent="0.25">
      <c r="A40" s="1" t="s">
        <v>30</v>
      </c>
      <c r="B40" s="1">
        <f>-B34</f>
        <v>-955000</v>
      </c>
    </row>
    <row r="41" spans="1:2" ht="15.75" thickBot="1" x14ac:dyDescent="0.3">
      <c r="A41" s="1"/>
      <c r="B41" s="6">
        <f>SUM(B39:B40)</f>
        <v>-3131000</v>
      </c>
    </row>
    <row r="42" spans="1:2" ht="15.75" thickBot="1" x14ac:dyDescent="0.3">
      <c r="A42" s="9" t="s">
        <v>31</v>
      </c>
      <c r="B42" s="11">
        <v>569000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Karolay Paola Aguas Hernández</dc:creator>
  <cp:lastModifiedBy>Karolay Paola Aguas Hernández</cp:lastModifiedBy>
  <dcterms:created xsi:type="dcterms:W3CDTF">2025-07-15T17:46:44Z</dcterms:created>
  <dcterms:modified xsi:type="dcterms:W3CDTF">2025-07-15T18:17:15Z</dcterms:modified>
</cp:coreProperties>
</file>