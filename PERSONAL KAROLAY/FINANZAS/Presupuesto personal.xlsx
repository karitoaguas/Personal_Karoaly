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E:\Documentos\PERSONAL KAROLAY\FINANZAS\"/>
    </mc:Choice>
  </mc:AlternateContent>
  <xr:revisionPtr revIDLastSave="0" documentId="13_ncr:1_{4EBB3EB4-CB2B-4C17-8368-95EFD46D67BF}" xr6:coauthVersionLast="47" xr6:coauthVersionMax="47" xr10:uidLastSave="{00000000-0000-0000-0000-000000000000}"/>
  <bookViews>
    <workbookView showHorizontalScroll="0" showVerticalScroll="0" xWindow="-120" yWindow="-120" windowWidth="20730" windowHeight="11160" tabRatio="500" xr2:uid="{00000000-000D-0000-FFFF-FFFF00000000}"/>
  </bookViews>
  <sheets>
    <sheet name="Presupuesto" sheetId="1" r:id="rId1"/>
  </sheets>
  <definedNames>
    <definedName name="_xlnm.Print_Area" localSheetId="0">Presupuesto!$B$1:$G$64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" i="1" l="1"/>
  <c r="C6" i="1" l="1"/>
  <c r="D6" i="1"/>
  <c r="E6" i="1" s="1"/>
  <c r="E5" i="1"/>
  <c r="E3" i="1"/>
  <c r="E4" i="1"/>
  <c r="E9" i="1"/>
  <c r="E10" i="1"/>
  <c r="E11" i="1"/>
  <c r="E12" i="1"/>
  <c r="C13" i="1"/>
  <c r="D13" i="1"/>
  <c r="E15" i="1"/>
  <c r="E16" i="1"/>
  <c r="E17" i="1"/>
  <c r="E18" i="1"/>
  <c r="E19" i="1"/>
  <c r="E20" i="1"/>
  <c r="E21" i="1"/>
  <c r="C22" i="1"/>
  <c r="D22" i="1"/>
  <c r="E24" i="1"/>
  <c r="E25" i="1"/>
  <c r="E26" i="1"/>
  <c r="E27" i="1"/>
  <c r="E28" i="1"/>
  <c r="E29" i="1"/>
  <c r="E30" i="1"/>
  <c r="E31" i="1"/>
  <c r="E32" i="1"/>
  <c r="E33" i="1"/>
  <c r="E34" i="1"/>
  <c r="C35" i="1"/>
  <c r="D35" i="1"/>
  <c r="E37" i="1"/>
  <c r="E38" i="1"/>
  <c r="E39" i="1"/>
  <c r="E40" i="1"/>
  <c r="C41" i="1"/>
  <c r="D41" i="1"/>
  <c r="D52" i="1" s="1"/>
  <c r="E43" i="1"/>
  <c r="E44" i="1"/>
  <c r="E45" i="1" s="1"/>
  <c r="F70" i="1" s="1"/>
  <c r="C45" i="1"/>
  <c r="D45" i="1"/>
  <c r="E49" i="1"/>
  <c r="E50" i="1"/>
  <c r="C51" i="1"/>
  <c r="D51" i="1"/>
  <c r="E54" i="1"/>
  <c r="E55" i="1"/>
  <c r="E56" i="1"/>
  <c r="E57" i="1"/>
  <c r="E58" i="1"/>
  <c r="E59" i="1"/>
  <c r="C60" i="1"/>
  <c r="D60" i="1"/>
  <c r="D61" i="1" s="1"/>
  <c r="B2" i="1"/>
  <c r="E13" i="1" l="1"/>
  <c r="F66" i="1" s="1"/>
  <c r="E22" i="1"/>
  <c r="F67" i="1" s="1"/>
  <c r="D7" i="1"/>
  <c r="D46" i="1" s="1"/>
  <c r="E60" i="1"/>
  <c r="E51" i="1"/>
  <c r="E52" i="1" s="1"/>
  <c r="E41" i="1"/>
  <c r="F69" i="1" s="1"/>
  <c r="E35" i="1"/>
  <c r="F68" i="1" s="1"/>
  <c r="C7" i="1"/>
  <c r="E7" i="1"/>
  <c r="F32" i="1" s="1"/>
  <c r="C61" i="1"/>
  <c r="F4" i="1" l="1"/>
  <c r="E61" i="1"/>
  <c r="F61" i="1" s="1"/>
  <c r="F55" i="1"/>
  <c r="F59" i="1"/>
  <c r="F58" i="1"/>
  <c r="F56" i="1"/>
  <c r="F54" i="1"/>
  <c r="F57" i="1"/>
  <c r="F24" i="1"/>
  <c r="C46" i="1"/>
  <c r="F52" i="1"/>
  <c r="F43" i="1"/>
  <c r="F38" i="1"/>
  <c r="F33" i="1"/>
  <c r="F29" i="1"/>
  <c r="F25" i="1"/>
  <c r="F20" i="1"/>
  <c r="F16" i="1"/>
  <c r="F11" i="1"/>
  <c r="F5" i="1"/>
  <c r="F45" i="1"/>
  <c r="F40" i="1"/>
  <c r="F31" i="1"/>
  <c r="F27" i="1"/>
  <c r="F18" i="1"/>
  <c r="F9" i="1"/>
  <c r="F37" i="1"/>
  <c r="F19" i="1"/>
  <c r="F15" i="1"/>
  <c r="F10" i="1"/>
  <c r="F3" i="1"/>
  <c r="E46" i="1"/>
  <c r="F46" i="1" s="1"/>
  <c r="F44" i="1"/>
  <c r="F39" i="1"/>
  <c r="F34" i="1"/>
  <c r="F30" i="1"/>
  <c r="F26" i="1"/>
  <c r="F21" i="1"/>
  <c r="F17" i="1"/>
  <c r="F12" i="1"/>
  <c r="F7" i="1"/>
  <c r="F13" i="1"/>
  <c r="F35" i="1"/>
  <c r="F6" i="1"/>
  <c r="F41" i="1"/>
  <c r="F28" i="1"/>
  <c r="F22" i="1"/>
  <c r="F51" i="1"/>
  <c r="F71" i="1" l="1"/>
  <c r="F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Usuario de Microsoft Office</author>
  </authors>
  <commentList>
    <comment ref="F13" authorId="0" shapeId="0" xr:uid="{00000000-0006-0000-0000-000001000000}">
      <text>
        <r>
          <rPr>
            <b/>
            <sz val="10"/>
            <color indexed="81"/>
            <rFont val="Calibri"/>
            <family val="2"/>
          </rPr>
          <t>Autor:</t>
        </r>
        <r>
          <rPr>
            <sz val="10"/>
            <color indexed="81"/>
            <rFont val="Calibri"/>
            <family val="2"/>
          </rPr>
          <t xml:space="preserve">
Ahorro minimo 10% de los ingresos totales</t>
        </r>
      </text>
    </comment>
    <comment ref="F15" authorId="1" shapeId="0" xr:uid="{00000000-0006-0000-0000-000002000000}">
      <text>
        <r>
          <rPr>
            <b/>
            <sz val="10"/>
            <color indexed="81"/>
            <rFont val="Calibri"/>
            <family val="2"/>
          </rPr>
          <t>Usuario:</t>
        </r>
        <r>
          <rPr>
            <sz val="10"/>
            <color indexed="81"/>
            <rFont val="Calibri"/>
            <family val="2"/>
          </rPr>
          <t xml:space="preserve">
Crédito de vivienda máximo 30% ingresos totales familiares
</t>
        </r>
      </text>
    </comment>
    <comment ref="F22" authorId="0" shapeId="0" xr:uid="{00000000-0006-0000-0000-000003000000}">
      <text>
        <r>
          <rPr>
            <b/>
            <sz val="10"/>
            <color rgb="FF000000"/>
            <rFont val="Calibri"/>
            <family val="2"/>
          </rPr>
          <t>Autor: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Total de créditos máximo al 40% de ingresos totales</t>
        </r>
      </text>
    </comment>
    <comment ref="F35" authorId="0" shapeId="0" xr:uid="{00000000-0006-0000-0000-000004000000}">
      <text>
        <r>
          <rPr>
            <b/>
            <sz val="10"/>
            <color indexed="81"/>
            <rFont val="Calibri"/>
            <family val="2"/>
          </rPr>
          <t>Autor:</t>
        </r>
        <r>
          <rPr>
            <sz val="10"/>
            <color indexed="81"/>
            <rFont val="Calibri"/>
            <family val="2"/>
          </rPr>
          <t xml:space="preserve">
Gastos del hogar máxino el 40% de los ingresos totales</t>
        </r>
      </text>
    </comment>
    <comment ref="F41" authorId="0" shapeId="0" xr:uid="{00000000-0006-0000-0000-000005000000}">
      <text>
        <r>
          <rPr>
            <b/>
            <sz val="10"/>
            <color rgb="FF000000"/>
            <rFont val="Calibri"/>
            <family val="2"/>
          </rPr>
          <t>Autor: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Gastos de entrto. no deben superar el 10% de ingresos totales.</t>
        </r>
      </text>
    </comment>
    <comment ref="F44" authorId="1" shapeId="0" xr:uid="{00000000-0006-0000-0000-000006000000}">
      <text>
        <r>
          <rPr>
            <sz val="10"/>
            <color indexed="81"/>
            <rFont val="Calibri"/>
            <family val="2"/>
          </rPr>
          <t xml:space="preserve">
Hacer un seguimiento de los gastos que no son prioritarios.
</t>
        </r>
      </text>
    </comment>
  </commentList>
</comments>
</file>

<file path=xl/sharedStrings.xml><?xml version="1.0" encoding="utf-8"?>
<sst xmlns="http://schemas.openxmlformats.org/spreadsheetml/2006/main" count="75" uniqueCount="64">
  <si>
    <t>%</t>
  </si>
  <si>
    <t>Ingresos Sueldo</t>
  </si>
  <si>
    <t>AHORRO</t>
  </si>
  <si>
    <t>Pensiones voluntarias</t>
  </si>
  <si>
    <t>AFC</t>
  </si>
  <si>
    <t>Otros</t>
  </si>
  <si>
    <t>Total Ahorro</t>
  </si>
  <si>
    <t>CREDITOS</t>
  </si>
  <si>
    <t>Vivienda</t>
  </si>
  <si>
    <t>Vehiculo</t>
  </si>
  <si>
    <t>Tarjetas de crédito</t>
  </si>
  <si>
    <t>Libranza</t>
  </si>
  <si>
    <t>Seguro vehiculo</t>
  </si>
  <si>
    <t>Rotativo</t>
  </si>
  <si>
    <t>Total Creditos</t>
  </si>
  <si>
    <t>GASTOS VIVIENDA</t>
  </si>
  <si>
    <t>Agua, Luz, Gas</t>
  </si>
  <si>
    <t>Mercado</t>
  </si>
  <si>
    <t>Empleada</t>
  </si>
  <si>
    <t>Predial</t>
  </si>
  <si>
    <t>Gasolina</t>
  </si>
  <si>
    <t>Colegio</t>
  </si>
  <si>
    <t xml:space="preserve">Celular </t>
  </si>
  <si>
    <t>Seguro de Salud</t>
  </si>
  <si>
    <t>Mascota</t>
  </si>
  <si>
    <t>Total Gastos Vivienda</t>
  </si>
  <si>
    <t>Gimnasio</t>
  </si>
  <si>
    <t>Restaurantes</t>
  </si>
  <si>
    <t>Vestuario</t>
  </si>
  <si>
    <t>Total Gastos Entretenimiento</t>
  </si>
  <si>
    <t>OTROS</t>
  </si>
  <si>
    <t>Seguro de vida</t>
  </si>
  <si>
    <t>Total Otros</t>
  </si>
  <si>
    <t>SUPERAVIT/DEFICIT</t>
  </si>
  <si>
    <t>ING. EXTRAS ANUALES</t>
  </si>
  <si>
    <t>Total Ingresos Anuales</t>
  </si>
  <si>
    <t>PAGOS ANUALES</t>
  </si>
  <si>
    <t>Impuestos vehículo</t>
  </si>
  <si>
    <t>Seguro vehículo</t>
  </si>
  <si>
    <t>SOAT</t>
  </si>
  <si>
    <t>Impuesto de renta</t>
  </si>
  <si>
    <t>Cuotas extraordinarias</t>
  </si>
  <si>
    <t>Total Egresos Anuales</t>
  </si>
  <si>
    <t>DIFERENCIA</t>
  </si>
  <si>
    <t xml:space="preserve"> AHORRO </t>
  </si>
  <si>
    <t xml:space="preserve"> ENTRETENIMIENTO </t>
  </si>
  <si>
    <t xml:space="preserve"> OTROS </t>
  </si>
  <si>
    <t xml:space="preserve"> PROVISION MENSUAL DE EGRESOS ANUALES </t>
  </si>
  <si>
    <t>ENTRETENIMIENTO/VARIOS</t>
  </si>
  <si>
    <t>Matricula (Estudio)</t>
  </si>
  <si>
    <t>TITULAR</t>
  </si>
  <si>
    <t xml:space="preserve">Pareja </t>
  </si>
  <si>
    <t>*Otros (Gastos hormiga)</t>
  </si>
  <si>
    <t>PRESUPUESTO FAMILIAR</t>
  </si>
  <si>
    <t>Total Ingresos netos Mensuales</t>
  </si>
  <si>
    <t>Primas de ley</t>
  </si>
  <si>
    <t>Bonos u otros</t>
  </si>
  <si>
    <t>andresmunoz.zuluaga@gmail.com</t>
  </si>
  <si>
    <t>Arriendo y administración</t>
  </si>
  <si>
    <t>Internet/Cable/Suscripciones</t>
  </si>
  <si>
    <t>Descuento de Nomina aprox.</t>
  </si>
  <si>
    <t>Aporte a seg. Social independiente</t>
  </si>
  <si>
    <t xml:space="preserve"> Ingresos mensuales como independiente</t>
  </si>
  <si>
    <t>Fondo empleados CONFIAR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</si>
</sst>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-&quot;$&quot;* #,##0.00_-;\-&quot;$&quot;* #,##0.00_-;_-&quot;$&quot;* &quot;-&quot;??_-;_-@_-"/>
    <numFmt numFmtId="165" formatCode="_(&quot;$&quot;\ * #,##0_);_(&quot;$&quot;\ * \(#,##0\);_(&quot;$&quot;\ * &quot;-&quot;??_);_(@_)"/>
    <numFmt numFmtId="166" formatCode="_-[$$-409]* #,##0.00_ ;_-[$$-409]* \-#,##0.00\ ;_-[$$-409]* &quot;-&quot;??_ ;_-@_ "/>
    <numFmt numFmtId="167" formatCode="&quot;$&quot;\ #,##0.00_);[Red]\(&quot;$&quot;\ #,##0.00\)"/>
    <numFmt numFmtId="168" formatCode="[$-F800]dddd\,\ mmmm\ dd\,\ yyyy"/>
    <numFmt numFmtId="169" formatCode="_(&quot;$&quot;\ * #,##0.00_);_(&quot;$&quot;\ * \(#,##0.00\);_(&quot;$&quot;\ * &quot;-&quot;??_);_(@_)"/>
    <numFmt numFmtId="170" formatCode="_-&quot;$&quot;* #,##0_-;\-&quot;$&quot;* #,##0_-;_-&quot;$&quot;* &quot;-&quot;??_-;_-@_-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Arial"/>
      <family val="2"/>
    </font>
    <font>
      <b/>
      <sz val="12"/>
      <color theme="3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4" tint="-0.249977111117893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3" fillId="0" borderId="0"/>
    <xf numFmtId="0" fontId="13" fillId="0" borderId="0"/>
    <xf numFmtId="169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61">
    <xf numFmtId="0" fontId="0" fillId="0" borderId="0" xfId="0"/>
    <xf numFmtId="165" fontId="3" fillId="2" borderId="2" xfId="2" applyNumberFormat="1" applyFont="1" applyFill="1" applyBorder="1" applyProtection="1">
      <protection hidden="1"/>
    </xf>
    <xf numFmtId="10" fontId="3" fillId="2" borderId="2" xfId="3" applyNumberFormat="1" applyFont="1" applyFill="1" applyBorder="1" applyProtection="1">
      <protection hidden="1"/>
    </xf>
    <xf numFmtId="165" fontId="5" fillId="7" borderId="2" xfId="2" applyNumberFormat="1" applyFont="1" applyFill="1" applyBorder="1" applyProtection="1">
      <protection hidden="1"/>
    </xf>
    <xf numFmtId="10" fontId="5" fillId="7" borderId="2" xfId="3" applyNumberFormat="1" applyFont="1" applyFill="1" applyBorder="1" applyProtection="1">
      <protection hidden="1"/>
    </xf>
    <xf numFmtId="165" fontId="3" fillId="7" borderId="2" xfId="2" applyNumberFormat="1" applyFont="1" applyFill="1" applyBorder="1" applyProtection="1">
      <protection hidden="1"/>
    </xf>
    <xf numFmtId="10" fontId="3" fillId="7" borderId="2" xfId="3" applyNumberFormat="1" applyFont="1" applyFill="1" applyBorder="1" applyProtection="1">
      <protection hidden="1"/>
    </xf>
    <xf numFmtId="10" fontId="6" fillId="2" borderId="2" xfId="3" applyNumberFormat="1" applyFont="1" applyFill="1" applyBorder="1" applyProtection="1">
      <protection hidden="1"/>
    </xf>
    <xf numFmtId="165" fontId="3" fillId="3" borderId="2" xfId="2" applyNumberFormat="1" applyFont="1" applyFill="1" applyBorder="1" applyProtection="1">
      <protection hidden="1"/>
    </xf>
    <xf numFmtId="10" fontId="6" fillId="3" borderId="2" xfId="3" applyNumberFormat="1" applyFont="1" applyFill="1" applyBorder="1" applyProtection="1">
      <protection hidden="1"/>
    </xf>
    <xf numFmtId="165" fontId="8" fillId="2" borderId="0" xfId="2" applyNumberFormat="1" applyFont="1" applyFill="1" applyBorder="1" applyProtection="1">
      <protection hidden="1"/>
    </xf>
    <xf numFmtId="10" fontId="7" fillId="2" borderId="0" xfId="3" applyNumberFormat="1" applyFont="1" applyFill="1" applyBorder="1" applyProtection="1">
      <protection hidden="1"/>
    </xf>
    <xf numFmtId="165" fontId="5" fillId="8" borderId="3" xfId="0" applyNumberFormat="1" applyFont="1" applyFill="1" applyBorder="1" applyAlignment="1" applyProtection="1">
      <alignment horizontal="center"/>
      <protection hidden="1"/>
    </xf>
    <xf numFmtId="165" fontId="6" fillId="5" borderId="5" xfId="0" applyNumberFormat="1" applyFont="1" applyFill="1" applyBorder="1" applyAlignment="1" applyProtection="1">
      <alignment horizontal="right"/>
      <protection hidden="1"/>
    </xf>
    <xf numFmtId="165" fontId="5" fillId="8" borderId="5" xfId="0" applyNumberFormat="1" applyFont="1" applyFill="1" applyBorder="1" applyAlignment="1" applyProtection="1">
      <alignment horizontal="right"/>
      <protection hidden="1"/>
    </xf>
    <xf numFmtId="9" fontId="5" fillId="8" borderId="5" xfId="3" applyFont="1" applyFill="1" applyBorder="1" applyAlignment="1" applyProtection="1">
      <alignment horizontal="right"/>
      <protection hidden="1"/>
    </xf>
    <xf numFmtId="0" fontId="3" fillId="7" borderId="2" xfId="2" applyNumberFormat="1" applyFont="1" applyFill="1" applyBorder="1" applyProtection="1">
      <protection hidden="1"/>
    </xf>
    <xf numFmtId="0" fontId="3" fillId="2" borderId="0" xfId="0" applyFont="1" applyFill="1" applyProtection="1">
      <protection hidden="1"/>
    </xf>
    <xf numFmtId="0" fontId="17" fillId="0" borderId="0" xfId="12" applyFont="1" applyAlignment="1" applyProtection="1">
      <alignment horizontal="center"/>
      <protection hidden="1"/>
    </xf>
    <xf numFmtId="4" fontId="4" fillId="0" borderId="0" xfId="4" applyNumberFormat="1" applyFont="1" applyBorder="1" applyAlignment="1" applyProtection="1">
      <protection hidden="1"/>
    </xf>
    <xf numFmtId="0" fontId="3" fillId="0" borderId="0" xfId="0" applyFont="1" applyProtection="1">
      <protection hidden="1"/>
    </xf>
    <xf numFmtId="0" fontId="3" fillId="2" borderId="0" xfId="0" applyFont="1" applyFill="1" applyAlignment="1" applyProtection="1">
      <alignment horizontal="center" wrapText="1"/>
      <protection hidden="1"/>
    </xf>
    <xf numFmtId="168" fontId="5" fillId="7" borderId="2" xfId="0" applyNumberFormat="1" applyFont="1" applyFill="1" applyBorder="1" applyAlignment="1" applyProtection="1">
      <alignment horizontal="center" wrapText="1"/>
      <protection hidden="1"/>
    </xf>
    <xf numFmtId="0" fontId="5" fillId="7" borderId="2" xfId="0" applyFont="1" applyFill="1" applyBorder="1" applyAlignment="1" applyProtection="1">
      <alignment horizontal="center" wrapText="1"/>
      <protection hidden="1"/>
    </xf>
    <xf numFmtId="0" fontId="5" fillId="2" borderId="0" xfId="0" applyFont="1" applyFill="1" applyAlignment="1" applyProtection="1">
      <alignment horizontal="center" wrapText="1"/>
      <protection hidden="1"/>
    </xf>
    <xf numFmtId="0" fontId="3" fillId="3" borderId="0" xfId="0" applyFont="1" applyFill="1" applyAlignment="1" applyProtection="1">
      <alignment horizontal="center" wrapText="1"/>
      <protection hidden="1"/>
    </xf>
    <xf numFmtId="0" fontId="3" fillId="2" borderId="2" xfId="0" applyFont="1" applyFill="1" applyBorder="1" applyAlignment="1" applyProtection="1">
      <alignment horizontal="center"/>
      <protection hidden="1"/>
    </xf>
    <xf numFmtId="170" fontId="3" fillId="2" borderId="2" xfId="2" applyNumberFormat="1" applyFont="1" applyFill="1" applyBorder="1" applyProtection="1">
      <protection hidden="1"/>
    </xf>
    <xf numFmtId="41" fontId="3" fillId="2" borderId="0" xfId="1" applyFont="1" applyFill="1" applyBorder="1" applyProtection="1">
      <protection hidden="1"/>
    </xf>
    <xf numFmtId="0" fontId="5" fillId="7" borderId="2" xfId="0" applyFont="1" applyFill="1" applyBorder="1" applyAlignment="1" applyProtection="1">
      <alignment horizontal="center"/>
      <protection hidden="1"/>
    </xf>
    <xf numFmtId="165" fontId="5" fillId="2" borderId="0" xfId="2" applyNumberFormat="1" applyFont="1" applyFill="1" applyBorder="1" applyProtection="1">
      <protection hidden="1"/>
    </xf>
    <xf numFmtId="0" fontId="3" fillId="3" borderId="0" xfId="0" applyFont="1" applyFill="1" applyProtection="1">
      <protection hidden="1"/>
    </xf>
    <xf numFmtId="0" fontId="3" fillId="7" borderId="2" xfId="0" applyFont="1" applyFill="1" applyBorder="1" applyAlignment="1" applyProtection="1">
      <alignment horizontal="center"/>
      <protection hidden="1"/>
    </xf>
    <xf numFmtId="165" fontId="3" fillId="2" borderId="0" xfId="2" applyNumberFormat="1" applyFont="1" applyFill="1" applyBorder="1" applyProtection="1">
      <protection hidden="1"/>
    </xf>
    <xf numFmtId="166" fontId="3" fillId="2" borderId="2" xfId="2" applyNumberFormat="1" applyFont="1" applyFill="1" applyBorder="1" applyProtection="1">
      <protection hidden="1"/>
    </xf>
    <xf numFmtId="0" fontId="6" fillId="2" borderId="2" xfId="0" applyFont="1" applyFill="1" applyBorder="1" applyAlignment="1" applyProtection="1">
      <alignment horizontal="center"/>
      <protection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165" fontId="5" fillId="8" borderId="2" xfId="0" applyNumberFormat="1" applyFont="1" applyFill="1" applyBorder="1" applyAlignment="1" applyProtection="1">
      <alignment horizontal="center"/>
      <protection hidden="1"/>
    </xf>
    <xf numFmtId="165" fontId="5" fillId="5" borderId="0" xfId="0" applyNumberFormat="1" applyFont="1" applyFill="1" applyAlignment="1" applyProtection="1">
      <alignment horizontal="center"/>
      <protection hidden="1"/>
    </xf>
    <xf numFmtId="165" fontId="6" fillId="5" borderId="4" xfId="0" applyNumberFormat="1" applyFont="1" applyFill="1" applyBorder="1" applyAlignment="1" applyProtection="1">
      <alignment horizontal="center"/>
      <protection hidden="1"/>
    </xf>
    <xf numFmtId="165" fontId="9" fillId="5" borderId="0" xfId="0" applyNumberFormat="1" applyFont="1" applyFill="1" applyAlignment="1" applyProtection="1">
      <alignment horizontal="right"/>
      <protection hidden="1"/>
    </xf>
    <xf numFmtId="0" fontId="6" fillId="5" borderId="0" xfId="0" applyFont="1" applyFill="1" applyProtection="1">
      <protection hidden="1"/>
    </xf>
    <xf numFmtId="165" fontId="5" fillId="8" borderId="4" xfId="0" applyNumberFormat="1" applyFont="1" applyFill="1" applyBorder="1" applyAlignment="1" applyProtection="1">
      <alignment horizontal="center"/>
      <protection hidden="1"/>
    </xf>
    <xf numFmtId="165" fontId="5" fillId="5" borderId="0" xfId="0" applyNumberFormat="1" applyFont="1" applyFill="1" applyAlignment="1" applyProtection="1">
      <alignment horizontal="right"/>
      <protection hidden="1"/>
    </xf>
    <xf numFmtId="0" fontId="3" fillId="5" borderId="0" xfId="0" applyFont="1" applyFill="1" applyProtection="1">
      <protection hidden="1"/>
    </xf>
    <xf numFmtId="0" fontId="3" fillId="4" borderId="0" xfId="0" applyFont="1" applyFill="1" applyProtection="1">
      <protection hidden="1"/>
    </xf>
    <xf numFmtId="0" fontId="6" fillId="6" borderId="0" xfId="0" applyFont="1" applyFill="1" applyAlignment="1" applyProtection="1">
      <alignment horizontal="center"/>
      <protection hidden="1"/>
    </xf>
    <xf numFmtId="0" fontId="6" fillId="6" borderId="0" xfId="0" applyFont="1" applyFill="1" applyProtection="1">
      <protection hidden="1"/>
    </xf>
    <xf numFmtId="167" fontId="9" fillId="6" borderId="0" xfId="0" applyNumberFormat="1" applyFont="1" applyFill="1" applyAlignment="1" applyProtection="1">
      <alignment horizontal="center"/>
      <protection hidden="1"/>
    </xf>
    <xf numFmtId="0" fontId="7" fillId="6" borderId="0" xfId="0" applyFont="1" applyFill="1" applyAlignment="1" applyProtection="1">
      <alignment horizontal="center"/>
      <protection hidden="1"/>
    </xf>
    <xf numFmtId="0" fontId="9" fillId="6" borderId="0" xfId="0" applyFont="1" applyFill="1" applyAlignment="1" applyProtection="1">
      <alignment horizontal="center"/>
      <protection hidden="1"/>
    </xf>
    <xf numFmtId="165" fontId="6" fillId="6" borderId="0" xfId="0" applyNumberFormat="1" applyFont="1" applyFill="1" applyProtection="1">
      <protection hidden="1"/>
    </xf>
    <xf numFmtId="0" fontId="6" fillId="2" borderId="0" xfId="0" applyFont="1" applyFill="1" applyProtection="1">
      <protection hidden="1"/>
    </xf>
    <xf numFmtId="165" fontId="7" fillId="6" borderId="0" xfId="0" applyNumberFormat="1" applyFont="1" applyFill="1" applyAlignment="1" applyProtection="1">
      <alignment horizontal="center"/>
      <protection hidden="1"/>
    </xf>
    <xf numFmtId="165" fontId="8" fillId="6" borderId="0" xfId="0" applyNumberFormat="1" applyFont="1" applyFill="1" applyProtection="1">
      <protection hidden="1"/>
    </xf>
    <xf numFmtId="0" fontId="8" fillId="6" borderId="0" xfId="0" applyFont="1" applyFill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20" fillId="7" borderId="2" xfId="0" applyFont="1" applyFill="1" applyBorder="1" applyAlignment="1" applyProtection="1">
      <alignment horizontal="center"/>
      <protection hidden="1"/>
    </xf>
    <xf numFmtId="165" fontId="20" fillId="7" borderId="2" xfId="2" applyNumberFormat="1" applyFont="1" applyFill="1" applyBorder="1" applyProtection="1">
      <protection hidden="1"/>
    </xf>
    <xf numFmtId="10" fontId="20" fillId="7" borderId="2" xfId="3" applyNumberFormat="1" applyFont="1" applyFill="1" applyBorder="1" applyProtection="1">
      <protection hidden="1"/>
    </xf>
  </cellXfs>
  <cellStyles count="13">
    <cellStyle name="Hipervínculo" xfId="8" builtinId="8" hidden="1"/>
    <cellStyle name="Hipervínculo" xfId="10" builtinId="8" hidden="1"/>
    <cellStyle name="Hipervínculo" xfId="12" builtinId="8"/>
    <cellStyle name="Hipervínculo visitado" xfId="9" builtinId="9" hidden="1"/>
    <cellStyle name="Hipervínculo visitado" xfId="11" builtinId="9" hidden="1"/>
    <cellStyle name="Millares [0]" xfId="1" builtinId="6"/>
    <cellStyle name="Moneda" xfId="2" builtinId="4"/>
    <cellStyle name="Moneda 2 2 2" xfId="7" xr:uid="{00000000-0005-0000-0000-000007000000}"/>
    <cellStyle name="Normal" xfId="0" builtinId="0"/>
    <cellStyle name="Normal 2 2 2" xfId="6" xr:uid="{00000000-0005-0000-0000-000009000000}"/>
    <cellStyle name="Normal 4" xfId="5" xr:uid="{00000000-0005-0000-0000-00000A000000}"/>
    <cellStyle name="Porcentaje" xfId="3" builtinId="5"/>
    <cellStyle name="Título 2" xfId="4" builtinId="17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2D05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127002</xdr:colOff>
      <xdr:row>0</xdr:row>
      <xdr:rowOff>63502</xdr:rowOff>
    </xdr:from>
    <xdr:to>
      <xdr:col>1</xdr:col>
      <xdr:colOff>976195</xdr:colOff>
      <xdr:row>0</xdr:row>
      <xdr:rowOff>1036206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2" y="63502"/>
          <a:ext cx="1124044" cy="972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resmunoz.zuluaga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Z1055"/>
  <sheetViews>
    <sheetView tabSelected="1" topLeftCell="A16" zoomScale="134" zoomScaleNormal="120" zoomScalePageLayoutView="120" workbookViewId="0">
      <selection activeCell="C18" sqref="C18"/>
    </sheetView>
  </sheetViews>
  <sheetFormatPr baseColWidth="10" defaultColWidth="23" defaultRowHeight="15" x14ac:dyDescent="0.2"/>
  <cols>
    <col min="1" max="1" width="3.625" style="17" customWidth="1"/>
    <col min="2" max="2" width="37" style="57" customWidth="1"/>
    <col min="3" max="3" width="15.875" style="20" customWidth="1"/>
    <col min="4" max="4" width="15.375" style="20" customWidth="1"/>
    <col min="5" max="5" width="16.625" style="20" customWidth="1"/>
    <col min="6" max="6" width="12.625" style="20" bestFit="1" customWidth="1"/>
    <col min="7" max="7" width="12.375" style="17" customWidth="1"/>
    <col min="8" max="24" width="23" style="17"/>
    <col min="25" max="16384" width="23" style="20"/>
  </cols>
  <sheetData>
    <row r="1" spans="1:24" ht="105.95" customHeight="1" x14ac:dyDescent="0.25">
      <c r="B1" s="18" t="s">
        <v>57</v>
      </c>
      <c r="C1" s="19"/>
    </row>
    <row r="2" spans="1:24" s="25" customFormat="1" ht="31.5" x14ac:dyDescent="0.25">
      <c r="A2" s="21"/>
      <c r="B2" s="22">
        <f ca="1">TODAY()</f>
        <v>45625</v>
      </c>
      <c r="C2" s="23" t="s">
        <v>50</v>
      </c>
      <c r="D2" s="23" t="s">
        <v>51</v>
      </c>
      <c r="E2" s="23" t="s">
        <v>53</v>
      </c>
      <c r="F2" s="23" t="s">
        <v>0</v>
      </c>
      <c r="G2" s="24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x14ac:dyDescent="0.2">
      <c r="B3" s="26" t="s">
        <v>1</v>
      </c>
      <c r="C3" s="1">
        <v>4350000</v>
      </c>
      <c r="D3" s="27">
        <v>0</v>
      </c>
      <c r="E3" s="1">
        <f>+C3+D3</f>
        <v>4350000</v>
      </c>
      <c r="F3" s="2">
        <f>+E3/E$7</f>
        <v>0.92592592592592593</v>
      </c>
      <c r="G3" s="28"/>
    </row>
    <row r="4" spans="1:24" x14ac:dyDescent="0.2">
      <c r="B4" s="26" t="s">
        <v>60</v>
      </c>
      <c r="C4" s="27">
        <f>-(C3*0.08)</f>
        <v>-348000</v>
      </c>
      <c r="D4" s="27"/>
      <c r="E4" s="1">
        <f>+C4+D4</f>
        <v>-348000</v>
      </c>
      <c r="F4" s="2">
        <f>-(+E4/E$7)</f>
        <v>7.407407407407407E-2</v>
      </c>
      <c r="G4" s="28"/>
    </row>
    <row r="5" spans="1:24" x14ac:dyDescent="0.2">
      <c r="B5" s="26" t="s">
        <v>62</v>
      </c>
      <c r="C5" s="1">
        <v>0</v>
      </c>
      <c r="D5" s="1"/>
      <c r="E5" s="1">
        <f>+C5+D5</f>
        <v>0</v>
      </c>
      <c r="F5" s="2">
        <f>+E5/E$7</f>
        <v>0</v>
      </c>
      <c r="G5" s="28"/>
    </row>
    <row r="6" spans="1:24" x14ac:dyDescent="0.2">
      <c r="B6" s="26" t="s">
        <v>61</v>
      </c>
      <c r="C6" s="27">
        <f>-((C5*0.4)*0.285)</f>
        <v>0</v>
      </c>
      <c r="D6" s="27">
        <f>-((D5*0.4)*0.285)</f>
        <v>0</v>
      </c>
      <c r="E6" s="27">
        <f>+C6+D6</f>
        <v>0</v>
      </c>
      <c r="F6" s="2">
        <f>+E6/E$7</f>
        <v>0</v>
      </c>
      <c r="G6" s="28"/>
    </row>
    <row r="7" spans="1:24" s="31" customFormat="1" ht="15.75" x14ac:dyDescent="0.25">
      <c r="A7" s="17"/>
      <c r="B7" s="29" t="s">
        <v>54</v>
      </c>
      <c r="C7" s="3">
        <f>+(C3+C4)+(C5+C6)</f>
        <v>4002000</v>
      </c>
      <c r="D7" s="3">
        <f>+(D3+D4)+(D5+D6)</f>
        <v>0</v>
      </c>
      <c r="E7" s="3">
        <f>+E3-E4+E5</f>
        <v>4698000</v>
      </c>
      <c r="F7" s="4">
        <f>+E7/$E$7</f>
        <v>1</v>
      </c>
      <c r="G7" s="30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s="31" customFormat="1" ht="15.75" x14ac:dyDescent="0.25">
      <c r="A8" s="17"/>
      <c r="B8" s="29" t="s">
        <v>2</v>
      </c>
      <c r="C8" s="5"/>
      <c r="D8" s="5"/>
      <c r="E8" s="5"/>
      <c r="F8" s="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x14ac:dyDescent="0.2">
      <c r="B9" s="26" t="s">
        <v>63</v>
      </c>
      <c r="C9" s="1">
        <v>100000</v>
      </c>
      <c r="D9" s="1">
        <v>0</v>
      </c>
      <c r="E9" s="1">
        <f>+C9+D9</f>
        <v>100000</v>
      </c>
      <c r="F9" s="2">
        <f>+E9/E$7</f>
        <v>2.1285653469561516E-2</v>
      </c>
    </row>
    <row r="10" spans="1:24" x14ac:dyDescent="0.2">
      <c r="B10" s="26" t="s">
        <v>3</v>
      </c>
      <c r="C10" s="1">
        <v>0</v>
      </c>
      <c r="D10" s="1">
        <v>0</v>
      </c>
      <c r="E10" s="1">
        <f>+C10+D10</f>
        <v>0</v>
      </c>
      <c r="F10" s="2">
        <f>+E10/E$7</f>
        <v>0</v>
      </c>
    </row>
    <row r="11" spans="1:24" x14ac:dyDescent="0.2">
      <c r="B11" s="26" t="s">
        <v>4</v>
      </c>
      <c r="C11" s="1">
        <v>0</v>
      </c>
      <c r="D11" s="1">
        <v>0</v>
      </c>
      <c r="E11" s="1">
        <f>+C11+D11</f>
        <v>0</v>
      </c>
      <c r="F11" s="2">
        <f>+E11/E$7</f>
        <v>0</v>
      </c>
    </row>
    <row r="12" spans="1:24" x14ac:dyDescent="0.2">
      <c r="B12" s="26" t="s">
        <v>5</v>
      </c>
      <c r="C12" s="1">
        <v>0</v>
      </c>
      <c r="D12" s="1"/>
      <c r="E12" s="1">
        <f>+C12+D12</f>
        <v>0</v>
      </c>
      <c r="F12" s="2">
        <f>+E12/E$7</f>
        <v>0</v>
      </c>
    </row>
    <row r="13" spans="1:24" s="31" customFormat="1" ht="15.75" x14ac:dyDescent="0.25">
      <c r="A13" s="17"/>
      <c r="B13" s="32" t="s">
        <v>6</v>
      </c>
      <c r="C13" s="3">
        <f>+SUM(C9:C12)</f>
        <v>100000</v>
      </c>
      <c r="D13" s="3">
        <f>+SUM(D9:D12)</f>
        <v>0</v>
      </c>
      <c r="E13" s="3">
        <f>+SUM(E9:E12)</f>
        <v>100000</v>
      </c>
      <c r="F13" s="4">
        <f>+E13/$E$7</f>
        <v>2.1285653469561516E-2</v>
      </c>
      <c r="G13" s="33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s="31" customFormat="1" ht="15.75" x14ac:dyDescent="0.25">
      <c r="A14" s="17"/>
      <c r="B14" s="29" t="s">
        <v>7</v>
      </c>
      <c r="C14" s="5"/>
      <c r="D14" s="5"/>
      <c r="E14" s="5"/>
      <c r="F14" s="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s="17" customFormat="1" x14ac:dyDescent="0.2">
      <c r="B15" s="26" t="s">
        <v>8</v>
      </c>
      <c r="C15" s="34"/>
      <c r="D15" s="34"/>
      <c r="E15" s="1">
        <f t="shared" ref="E15:E21" si="0">+C15+D15</f>
        <v>0</v>
      </c>
      <c r="F15" s="2">
        <f t="shared" ref="F15:F22" si="1">+E15/$E$7</f>
        <v>0</v>
      </c>
    </row>
    <row r="16" spans="1:24" x14ac:dyDescent="0.2">
      <c r="B16" s="26" t="s">
        <v>9</v>
      </c>
      <c r="C16" s="34">
        <v>550000</v>
      </c>
      <c r="D16" s="34">
        <v>100000</v>
      </c>
      <c r="E16" s="1">
        <f t="shared" si="0"/>
        <v>650000</v>
      </c>
      <c r="F16" s="2">
        <f t="shared" si="1"/>
        <v>0.13835674755214986</v>
      </c>
    </row>
    <row r="17" spans="1:24" x14ac:dyDescent="0.2">
      <c r="B17" s="35" t="s">
        <v>10</v>
      </c>
      <c r="C17" s="34">
        <v>560000</v>
      </c>
      <c r="D17" s="34"/>
      <c r="E17" s="1">
        <f t="shared" si="0"/>
        <v>560000</v>
      </c>
      <c r="F17" s="2">
        <f t="shared" si="1"/>
        <v>0.11919965942954448</v>
      </c>
    </row>
    <row r="18" spans="1:24" x14ac:dyDescent="0.2">
      <c r="B18" s="35" t="s">
        <v>11</v>
      </c>
      <c r="C18" s="34">
        <v>0</v>
      </c>
      <c r="D18" s="34">
        <v>0</v>
      </c>
      <c r="E18" s="1">
        <f t="shared" si="0"/>
        <v>0</v>
      </c>
      <c r="F18" s="2">
        <f t="shared" si="1"/>
        <v>0</v>
      </c>
    </row>
    <row r="19" spans="1:24" s="17" customFormat="1" x14ac:dyDescent="0.2">
      <c r="B19" s="35" t="s">
        <v>12</v>
      </c>
      <c r="C19" s="34">
        <v>0</v>
      </c>
      <c r="D19" s="34">
        <v>0</v>
      </c>
      <c r="E19" s="1">
        <f t="shared" si="0"/>
        <v>0</v>
      </c>
      <c r="F19" s="2">
        <f t="shared" si="1"/>
        <v>0</v>
      </c>
    </row>
    <row r="20" spans="1:24" x14ac:dyDescent="0.2">
      <c r="B20" s="35" t="s">
        <v>13</v>
      </c>
      <c r="C20" s="34">
        <v>0</v>
      </c>
      <c r="D20" s="34">
        <v>0</v>
      </c>
      <c r="E20" s="1">
        <f t="shared" si="0"/>
        <v>0</v>
      </c>
      <c r="F20" s="2">
        <f t="shared" si="1"/>
        <v>0</v>
      </c>
    </row>
    <row r="21" spans="1:24" x14ac:dyDescent="0.2">
      <c r="B21" s="35" t="s">
        <v>5</v>
      </c>
      <c r="C21" s="34">
        <v>0</v>
      </c>
      <c r="D21" s="34">
        <v>0</v>
      </c>
      <c r="E21" s="1">
        <f t="shared" si="0"/>
        <v>0</v>
      </c>
      <c r="F21" s="2">
        <f t="shared" si="1"/>
        <v>0</v>
      </c>
    </row>
    <row r="22" spans="1:24" s="31" customFormat="1" ht="15.75" x14ac:dyDescent="0.25">
      <c r="A22" s="17"/>
      <c r="B22" s="29" t="s">
        <v>14</v>
      </c>
      <c r="C22" s="3">
        <f>SUM(C15:C21)</f>
        <v>1110000</v>
      </c>
      <c r="D22" s="3">
        <f>SUM(D15:D21)</f>
        <v>100000</v>
      </c>
      <c r="E22" s="3">
        <f>SUM(E15:E21)</f>
        <v>1210000</v>
      </c>
      <c r="F22" s="4">
        <f t="shared" si="1"/>
        <v>0.25755640698169435</v>
      </c>
      <c r="G22" s="33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s="31" customFormat="1" ht="15.75" x14ac:dyDescent="0.25">
      <c r="A23" s="17"/>
      <c r="B23" s="29" t="s">
        <v>15</v>
      </c>
      <c r="C23" s="16"/>
      <c r="D23" s="5"/>
      <c r="E23" s="5"/>
      <c r="F23" s="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x14ac:dyDescent="0.2">
      <c r="B24" s="26" t="s">
        <v>58</v>
      </c>
      <c r="C24" s="1">
        <v>250000</v>
      </c>
      <c r="D24" s="1">
        <v>0</v>
      </c>
      <c r="E24" s="1">
        <f t="shared" ref="E24:E34" si="2">+D24+C24</f>
        <v>250000</v>
      </c>
      <c r="F24" s="7">
        <f>+E24/$E$7</f>
        <v>5.3214133673903791E-2</v>
      </c>
    </row>
    <row r="25" spans="1:24" x14ac:dyDescent="0.2">
      <c r="B25" s="26" t="s">
        <v>16</v>
      </c>
      <c r="C25" s="1">
        <v>0</v>
      </c>
      <c r="D25" s="1">
        <v>300000</v>
      </c>
      <c r="E25" s="1">
        <f t="shared" si="2"/>
        <v>300000</v>
      </c>
      <c r="F25" s="7">
        <f t="shared" ref="F25:F34" si="3">+E25/$E$7</f>
        <v>6.3856960408684549E-2</v>
      </c>
    </row>
    <row r="26" spans="1:24" x14ac:dyDescent="0.2">
      <c r="B26" s="26" t="s">
        <v>17</v>
      </c>
      <c r="C26" s="1">
        <v>400000</v>
      </c>
      <c r="D26" s="1">
        <v>300000</v>
      </c>
      <c r="E26" s="1">
        <f t="shared" si="2"/>
        <v>700000</v>
      </c>
      <c r="F26" s="7">
        <f t="shared" si="3"/>
        <v>0.14899957428693061</v>
      </c>
    </row>
    <row r="27" spans="1:24" x14ac:dyDescent="0.2">
      <c r="B27" s="26" t="s">
        <v>18</v>
      </c>
      <c r="C27" s="1">
        <v>0</v>
      </c>
      <c r="D27" s="1">
        <v>0</v>
      </c>
      <c r="E27" s="1">
        <f t="shared" si="2"/>
        <v>0</v>
      </c>
      <c r="F27" s="7">
        <f t="shared" si="3"/>
        <v>0</v>
      </c>
    </row>
    <row r="28" spans="1:24" x14ac:dyDescent="0.2">
      <c r="B28" s="26" t="s">
        <v>19</v>
      </c>
      <c r="C28" s="1">
        <v>100000</v>
      </c>
      <c r="D28" s="1">
        <v>100000</v>
      </c>
      <c r="E28" s="1">
        <f t="shared" si="2"/>
        <v>200000</v>
      </c>
      <c r="F28" s="7">
        <f t="shared" si="3"/>
        <v>4.2571306939123033E-2</v>
      </c>
    </row>
    <row r="29" spans="1:24" x14ac:dyDescent="0.2">
      <c r="B29" s="26" t="s">
        <v>20</v>
      </c>
      <c r="C29" s="1">
        <v>120000</v>
      </c>
      <c r="D29" s="1">
        <v>100000</v>
      </c>
      <c r="E29" s="1">
        <f t="shared" si="2"/>
        <v>220000</v>
      </c>
      <c r="F29" s="7">
        <f t="shared" si="3"/>
        <v>4.6828437633035333E-2</v>
      </c>
    </row>
    <row r="30" spans="1:24" x14ac:dyDescent="0.2">
      <c r="B30" s="26" t="s">
        <v>21</v>
      </c>
      <c r="C30" s="1">
        <v>400000</v>
      </c>
      <c r="D30" s="1">
        <v>300000</v>
      </c>
      <c r="E30" s="1">
        <f t="shared" si="2"/>
        <v>700000</v>
      </c>
      <c r="F30" s="7">
        <f t="shared" si="3"/>
        <v>0.14899957428693061</v>
      </c>
    </row>
    <row r="31" spans="1:24" x14ac:dyDescent="0.2">
      <c r="B31" s="26" t="s">
        <v>22</v>
      </c>
      <c r="C31" s="1">
        <v>100000</v>
      </c>
      <c r="D31" s="1">
        <v>80000</v>
      </c>
      <c r="E31" s="1">
        <f t="shared" si="2"/>
        <v>180000</v>
      </c>
      <c r="F31" s="7">
        <f t="shared" si="3"/>
        <v>3.8314176245210725E-2</v>
      </c>
    </row>
    <row r="32" spans="1:24" x14ac:dyDescent="0.2">
      <c r="B32" s="26" t="s">
        <v>59</v>
      </c>
      <c r="C32" s="1">
        <v>120000</v>
      </c>
      <c r="D32" s="1">
        <v>0</v>
      </c>
      <c r="E32" s="1">
        <f t="shared" si="2"/>
        <v>120000</v>
      </c>
      <c r="F32" s="7">
        <f t="shared" si="3"/>
        <v>2.554278416347382E-2</v>
      </c>
    </row>
    <row r="33" spans="1:24" x14ac:dyDescent="0.2">
      <c r="B33" s="26" t="s">
        <v>23</v>
      </c>
      <c r="C33" s="1">
        <v>0</v>
      </c>
      <c r="D33" s="1">
        <v>0</v>
      </c>
      <c r="E33" s="1">
        <f t="shared" si="2"/>
        <v>0</v>
      </c>
      <c r="F33" s="7">
        <f t="shared" si="3"/>
        <v>0</v>
      </c>
    </row>
    <row r="34" spans="1:24" x14ac:dyDescent="0.2">
      <c r="B34" s="26" t="s">
        <v>24</v>
      </c>
      <c r="C34" s="1">
        <v>0</v>
      </c>
      <c r="D34" s="1">
        <v>0</v>
      </c>
      <c r="E34" s="1">
        <f t="shared" si="2"/>
        <v>0</v>
      </c>
      <c r="F34" s="7">
        <f t="shared" si="3"/>
        <v>0</v>
      </c>
    </row>
    <row r="35" spans="1:24" s="31" customFormat="1" ht="15.75" x14ac:dyDescent="0.25">
      <c r="A35" s="17"/>
      <c r="B35" s="29" t="s">
        <v>25</v>
      </c>
      <c r="C35" s="3">
        <f>+SUM(C24:C34)</f>
        <v>1490000</v>
      </c>
      <c r="D35" s="3">
        <f>+SUM(D24:D34)</f>
        <v>1180000</v>
      </c>
      <c r="E35" s="3">
        <f>+SUM(E24:E34)</f>
        <v>2670000</v>
      </c>
      <c r="F35" s="4">
        <f>+E35/$E$7</f>
        <v>0.56832694763729241</v>
      </c>
      <c r="G35" s="33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s="31" customFormat="1" ht="15.75" x14ac:dyDescent="0.25">
      <c r="A36" s="17"/>
      <c r="B36" s="29" t="s">
        <v>48</v>
      </c>
      <c r="C36" s="5"/>
      <c r="D36" s="5"/>
      <c r="E36" s="5"/>
      <c r="F36" s="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x14ac:dyDescent="0.2">
      <c r="B37" s="26" t="s">
        <v>26</v>
      </c>
      <c r="C37" s="1">
        <v>0</v>
      </c>
      <c r="D37" s="1">
        <v>0</v>
      </c>
      <c r="E37" s="1">
        <f>+D37+C37</f>
        <v>0</v>
      </c>
      <c r="F37" s="7">
        <f>+E37/$E$7</f>
        <v>0</v>
      </c>
    </row>
    <row r="38" spans="1:24" x14ac:dyDescent="0.2">
      <c r="B38" s="26" t="s">
        <v>27</v>
      </c>
      <c r="C38" s="1">
        <v>200000</v>
      </c>
      <c r="D38" s="1">
        <v>0</v>
      </c>
      <c r="E38" s="1">
        <f>+D38+C38</f>
        <v>200000</v>
      </c>
      <c r="F38" s="7">
        <f>+E38/$E$7</f>
        <v>4.2571306939123033E-2</v>
      </c>
    </row>
    <row r="39" spans="1:24" x14ac:dyDescent="0.2">
      <c r="B39" s="26" t="s">
        <v>28</v>
      </c>
      <c r="C39" s="1">
        <v>0</v>
      </c>
      <c r="D39" s="1">
        <v>0</v>
      </c>
      <c r="E39" s="1">
        <f>+D39+C39</f>
        <v>0</v>
      </c>
      <c r="F39" s="7">
        <f>+E39/$E$7</f>
        <v>0</v>
      </c>
    </row>
    <row r="40" spans="1:24" x14ac:dyDescent="0.2">
      <c r="B40" s="26" t="s">
        <v>9</v>
      </c>
      <c r="C40" s="1">
        <v>0</v>
      </c>
      <c r="D40" s="1">
        <v>0</v>
      </c>
      <c r="E40" s="1">
        <f>+D40+C40</f>
        <v>0</v>
      </c>
      <c r="F40" s="7">
        <f>+E40/$E$7</f>
        <v>0</v>
      </c>
    </row>
    <row r="41" spans="1:24" s="31" customFormat="1" ht="15.75" x14ac:dyDescent="0.25">
      <c r="A41" s="17"/>
      <c r="B41" s="29" t="s">
        <v>29</v>
      </c>
      <c r="C41" s="3">
        <f>+SUM(C37:C40)</f>
        <v>200000</v>
      </c>
      <c r="D41" s="3">
        <f>+SUM(D37:D40)</f>
        <v>0</v>
      </c>
      <c r="E41" s="3">
        <f>+D41+C41</f>
        <v>200000</v>
      </c>
      <c r="F41" s="4">
        <f>+E41/$E$7</f>
        <v>4.2571306939123033E-2</v>
      </c>
      <c r="G41" s="3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s="31" customFormat="1" ht="15.75" x14ac:dyDescent="0.25">
      <c r="A42" s="17"/>
      <c r="B42" s="29" t="s">
        <v>30</v>
      </c>
      <c r="C42" s="5"/>
      <c r="D42" s="5"/>
      <c r="E42" s="5"/>
      <c r="F42" s="4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x14ac:dyDescent="0.2">
      <c r="B43" s="26" t="s">
        <v>31</v>
      </c>
      <c r="C43" s="1"/>
      <c r="D43" s="1"/>
      <c r="E43" s="1">
        <f>+D43+C43</f>
        <v>0</v>
      </c>
      <c r="F43" s="7">
        <f>+E43/$E$7</f>
        <v>0</v>
      </c>
    </row>
    <row r="44" spans="1:24" ht="15.75" x14ac:dyDescent="0.25">
      <c r="B44" s="36" t="s">
        <v>52</v>
      </c>
      <c r="C44" s="8">
        <v>100000</v>
      </c>
      <c r="D44" s="8">
        <v>90000</v>
      </c>
      <c r="E44" s="8">
        <f>+D44+C44</f>
        <v>190000</v>
      </c>
      <c r="F44" s="9">
        <f>+E44/$E$7</f>
        <v>4.0442741592166882E-2</v>
      </c>
    </row>
    <row r="45" spans="1:24" s="31" customFormat="1" ht="15.75" x14ac:dyDescent="0.25">
      <c r="A45" s="17"/>
      <c r="B45" s="29" t="s">
        <v>32</v>
      </c>
      <c r="C45" s="3">
        <f>+C43+C44</f>
        <v>100000</v>
      </c>
      <c r="D45" s="3">
        <f>+D43+D44</f>
        <v>90000</v>
      </c>
      <c r="E45" s="3">
        <f>+E43+E44</f>
        <v>190000</v>
      </c>
      <c r="F45" s="4">
        <f>+E45/$E$7</f>
        <v>4.0442741592166882E-2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s="31" customFormat="1" ht="18" x14ac:dyDescent="0.25">
      <c r="A46" s="17"/>
      <c r="B46" s="58" t="s">
        <v>33</v>
      </c>
      <c r="C46" s="59">
        <f>+C7-C13-C22-C35-C41-C45</f>
        <v>1002000</v>
      </c>
      <c r="D46" s="59">
        <f>+D7-D13-D22-D35-D41-D45</f>
        <v>-1370000</v>
      </c>
      <c r="E46" s="59">
        <f>+E7-E13-E22-E35-E41-E45</f>
        <v>328000</v>
      </c>
      <c r="F46" s="60">
        <f>+E46/$E$7</f>
        <v>6.9816943380161769E-2</v>
      </c>
      <c r="G46" s="33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s="17" customFormat="1" ht="15.75" x14ac:dyDescent="0.25">
      <c r="B47" s="37"/>
      <c r="C47" s="10"/>
      <c r="D47" s="10"/>
      <c r="E47" s="10"/>
      <c r="F47" s="11"/>
      <c r="G47" s="10"/>
    </row>
    <row r="48" spans="1:24" s="31" customFormat="1" ht="15.75" x14ac:dyDescent="0.25">
      <c r="A48" s="17"/>
      <c r="B48" s="29" t="s">
        <v>34</v>
      </c>
      <c r="C48" s="5"/>
      <c r="D48" s="5"/>
      <c r="E48" s="5"/>
      <c r="F48" s="4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78" x14ac:dyDescent="0.2">
      <c r="B49" s="26" t="s">
        <v>55</v>
      </c>
      <c r="C49" s="1">
        <v>4500000</v>
      </c>
      <c r="D49" s="1">
        <v>0</v>
      </c>
      <c r="E49" s="1">
        <f>+D49+C49</f>
        <v>4500000</v>
      </c>
      <c r="F49" s="2"/>
    </row>
    <row r="50" spans="1:78" x14ac:dyDescent="0.2">
      <c r="B50" s="26" t="s">
        <v>56</v>
      </c>
      <c r="C50" s="1"/>
      <c r="D50" s="1"/>
      <c r="E50" s="1">
        <f>+D50+C50</f>
        <v>0</v>
      </c>
      <c r="F50" s="2"/>
    </row>
    <row r="51" spans="1:78" s="31" customFormat="1" ht="15.75" x14ac:dyDescent="0.25">
      <c r="A51" s="17"/>
      <c r="B51" s="29" t="s">
        <v>35</v>
      </c>
      <c r="C51" s="3">
        <f>+C50+C49</f>
        <v>4500000</v>
      </c>
      <c r="D51" s="3">
        <f>+D50+D49</f>
        <v>0</v>
      </c>
      <c r="E51" s="3">
        <f>+D51+C51</f>
        <v>4500000</v>
      </c>
      <c r="F51" s="4">
        <f>+E51/$E$7</f>
        <v>0.95785440613026818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78" s="17" customFormat="1" ht="15.75" x14ac:dyDescent="0.25">
      <c r="B52" s="37"/>
      <c r="C52" s="10"/>
      <c r="D52" s="10">
        <f>+D14-D20-D29-D41-D47-D51</f>
        <v>-100000</v>
      </c>
      <c r="E52" s="10">
        <f>+E14-E20-E29-E41-E47-E51</f>
        <v>-4920000</v>
      </c>
      <c r="F52" s="11">
        <f>+C52/$C$7</f>
        <v>0</v>
      </c>
      <c r="G52" s="10"/>
    </row>
    <row r="53" spans="1:78" s="31" customFormat="1" ht="15.75" x14ac:dyDescent="0.25">
      <c r="A53" s="17"/>
      <c r="B53" s="38" t="s">
        <v>36</v>
      </c>
      <c r="C53" s="12"/>
      <c r="D53" s="12"/>
      <c r="E53" s="12"/>
      <c r="F53" s="12" t="s">
        <v>0</v>
      </c>
      <c r="G53" s="39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78" s="17" customFormat="1" ht="15.75" x14ac:dyDescent="0.25">
      <c r="B54" s="40" t="s">
        <v>37</v>
      </c>
      <c r="C54" s="13">
        <v>800000</v>
      </c>
      <c r="D54" s="13">
        <v>0</v>
      </c>
      <c r="E54" s="13">
        <f t="shared" ref="E54:E60" si="4">+D54+C54</f>
        <v>800000</v>
      </c>
      <c r="F54" s="7">
        <f t="shared" ref="F54:F59" si="5">+E54/$E$60</f>
        <v>0.69565217391304346</v>
      </c>
      <c r="G54" s="41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</row>
    <row r="55" spans="1:78" s="17" customFormat="1" ht="15.75" x14ac:dyDescent="0.25">
      <c r="B55" s="40" t="s">
        <v>49</v>
      </c>
      <c r="C55" s="13">
        <v>0</v>
      </c>
      <c r="D55" s="13">
        <v>0</v>
      </c>
      <c r="E55" s="13">
        <f t="shared" si="4"/>
        <v>0</v>
      </c>
      <c r="F55" s="7">
        <f t="shared" si="5"/>
        <v>0</v>
      </c>
      <c r="G55" s="41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</row>
    <row r="56" spans="1:78" s="17" customFormat="1" ht="15.75" x14ac:dyDescent="0.25">
      <c r="B56" s="40" t="s">
        <v>38</v>
      </c>
      <c r="C56" s="13">
        <v>0</v>
      </c>
      <c r="D56" s="13">
        <v>0</v>
      </c>
      <c r="E56" s="13">
        <f t="shared" si="4"/>
        <v>0</v>
      </c>
      <c r="F56" s="7">
        <f t="shared" si="5"/>
        <v>0</v>
      </c>
      <c r="G56" s="41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</row>
    <row r="57" spans="1:78" s="17" customFormat="1" ht="15.75" x14ac:dyDescent="0.25">
      <c r="B57" s="40" t="s">
        <v>39</v>
      </c>
      <c r="C57" s="13">
        <v>350000</v>
      </c>
      <c r="D57" s="13">
        <v>0</v>
      </c>
      <c r="E57" s="13">
        <f t="shared" si="4"/>
        <v>350000</v>
      </c>
      <c r="F57" s="7">
        <f t="shared" si="5"/>
        <v>0.30434782608695654</v>
      </c>
      <c r="G57" s="41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</row>
    <row r="58" spans="1:78" s="17" customFormat="1" ht="15.75" x14ac:dyDescent="0.25">
      <c r="B58" s="40" t="s">
        <v>40</v>
      </c>
      <c r="C58" s="13">
        <v>0</v>
      </c>
      <c r="D58" s="13">
        <v>0</v>
      </c>
      <c r="E58" s="13">
        <f t="shared" si="4"/>
        <v>0</v>
      </c>
      <c r="F58" s="7">
        <f t="shared" si="5"/>
        <v>0</v>
      </c>
      <c r="G58" s="41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</row>
    <row r="59" spans="1:78" s="17" customFormat="1" ht="15.75" x14ac:dyDescent="0.25">
      <c r="B59" s="40" t="s">
        <v>41</v>
      </c>
      <c r="C59" s="13">
        <v>0</v>
      </c>
      <c r="D59" s="13">
        <v>0</v>
      </c>
      <c r="E59" s="13">
        <f t="shared" si="4"/>
        <v>0</v>
      </c>
      <c r="F59" s="7">
        <f t="shared" si="5"/>
        <v>0</v>
      </c>
      <c r="G59" s="41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</row>
    <row r="60" spans="1:78" s="31" customFormat="1" ht="30.95" customHeight="1" x14ac:dyDescent="0.25">
      <c r="A60" s="17"/>
      <c r="B60" s="43" t="s">
        <v>42</v>
      </c>
      <c r="C60" s="14">
        <f>+SUM(C54:C59)</f>
        <v>1150000</v>
      </c>
      <c r="D60" s="14">
        <f>+SUM(D54:D59)</f>
        <v>0</v>
      </c>
      <c r="E60" s="14">
        <f t="shared" si="4"/>
        <v>1150000</v>
      </c>
      <c r="F60" s="15">
        <f>+SUM(F54:F59)</f>
        <v>1</v>
      </c>
      <c r="G60" s="44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</row>
    <row r="61" spans="1:78" s="31" customFormat="1" ht="18.95" customHeight="1" x14ac:dyDescent="0.25">
      <c r="A61" s="17"/>
      <c r="B61" s="43" t="s">
        <v>43</v>
      </c>
      <c r="C61" s="14">
        <f>+C51-C60</f>
        <v>3350000</v>
      </c>
      <c r="D61" s="14">
        <f>+D51-D60</f>
        <v>0</v>
      </c>
      <c r="E61" s="14">
        <f>+E51-E60</f>
        <v>3350000</v>
      </c>
      <c r="F61" s="15">
        <f>E61/E51</f>
        <v>0.74444444444444446</v>
      </c>
      <c r="G61" s="44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</row>
    <row r="62" spans="1:78" x14ac:dyDescent="0.2">
      <c r="A62" s="20"/>
      <c r="B62" s="47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</row>
    <row r="63" spans="1:78" ht="15.75" x14ac:dyDescent="0.25">
      <c r="A63" s="20"/>
      <c r="B63" s="47"/>
      <c r="C63" s="49"/>
      <c r="D63" s="49"/>
      <c r="E63" s="49"/>
      <c r="F63" s="48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</row>
    <row r="64" spans="1:78" ht="15.75" x14ac:dyDescent="0.25">
      <c r="A64" s="20"/>
      <c r="B64" s="47"/>
      <c r="C64" s="49"/>
      <c r="D64" s="49"/>
      <c r="E64" s="49"/>
      <c r="F64" s="48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</row>
    <row r="65" spans="1:78" ht="15.75" x14ac:dyDescent="0.25">
      <c r="A65" s="20"/>
      <c r="B65" s="47"/>
      <c r="C65" s="50"/>
      <c r="D65" s="51"/>
      <c r="E65" s="51"/>
      <c r="F65" s="52"/>
      <c r="G65" s="53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</row>
    <row r="66" spans="1:78" ht="15.75" x14ac:dyDescent="0.25">
      <c r="A66" s="20"/>
      <c r="B66" s="47"/>
      <c r="C66" s="54" t="s">
        <v>44</v>
      </c>
      <c r="D66" s="54" t="s">
        <v>44</v>
      </c>
      <c r="E66" s="54"/>
      <c r="F66" s="55">
        <f>+E13</f>
        <v>100000</v>
      </c>
      <c r="G66" s="53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</row>
    <row r="67" spans="1:78" ht="15.75" x14ac:dyDescent="0.25">
      <c r="A67" s="20"/>
      <c r="B67" s="47"/>
      <c r="C67" s="54" t="s">
        <v>7</v>
      </c>
      <c r="D67" s="54" t="s">
        <v>7</v>
      </c>
      <c r="E67" s="54"/>
      <c r="F67" s="55">
        <f>+E22</f>
        <v>1210000</v>
      </c>
      <c r="G67" s="53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</row>
    <row r="68" spans="1:78" ht="15.75" x14ac:dyDescent="0.25">
      <c r="A68" s="20"/>
      <c r="B68" s="47"/>
      <c r="C68" s="54" t="s">
        <v>15</v>
      </c>
      <c r="D68" s="54" t="s">
        <v>15</v>
      </c>
      <c r="E68" s="54"/>
      <c r="F68" s="55">
        <f>+E35</f>
        <v>2670000</v>
      </c>
      <c r="G68" s="53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</row>
    <row r="69" spans="1:78" ht="15.75" x14ac:dyDescent="0.25">
      <c r="A69" s="20"/>
      <c r="B69" s="47"/>
      <c r="C69" s="54" t="s">
        <v>45</v>
      </c>
      <c r="D69" s="54" t="s">
        <v>45</v>
      </c>
      <c r="E69" s="54"/>
      <c r="F69" s="55">
        <f>+E41</f>
        <v>200000</v>
      </c>
      <c r="G69" s="53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</row>
    <row r="70" spans="1:78" ht="15.75" x14ac:dyDescent="0.25">
      <c r="A70" s="20"/>
      <c r="B70" s="47"/>
      <c r="C70" s="54" t="s">
        <v>46</v>
      </c>
      <c r="D70" s="54" t="s">
        <v>46</v>
      </c>
      <c r="E70" s="54"/>
      <c r="F70" s="55">
        <f>+E45</f>
        <v>190000</v>
      </c>
      <c r="G70" s="53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</row>
    <row r="71" spans="1:78" ht="15.75" x14ac:dyDescent="0.25">
      <c r="A71" s="20"/>
      <c r="B71" s="47"/>
      <c r="C71" s="54" t="s">
        <v>47</v>
      </c>
      <c r="D71" s="54" t="s">
        <v>47</v>
      </c>
      <c r="E71" s="54"/>
      <c r="F71" s="55">
        <f>+E61</f>
        <v>3350000</v>
      </c>
      <c r="G71" s="53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</row>
    <row r="72" spans="1:78" x14ac:dyDescent="0.2">
      <c r="A72" s="20"/>
      <c r="B72" s="47"/>
      <c r="C72" s="56"/>
      <c r="D72" s="48"/>
      <c r="E72" s="48"/>
      <c r="F72" s="52"/>
      <c r="G72" s="53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</row>
    <row r="73" spans="1:78" x14ac:dyDescent="0.2">
      <c r="A73" s="20"/>
      <c r="B73" s="47"/>
      <c r="C73" s="56"/>
      <c r="D73" s="48"/>
      <c r="E73" s="48"/>
      <c r="F73" s="48"/>
      <c r="G73" s="53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</row>
    <row r="74" spans="1:78" x14ac:dyDescent="0.2">
      <c r="A74" s="20"/>
      <c r="B74" s="47"/>
      <c r="C74" s="48"/>
      <c r="D74" s="48"/>
      <c r="E74" s="48"/>
      <c r="F74" s="48"/>
      <c r="G74" s="53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</row>
    <row r="75" spans="1:78" ht="15.75" x14ac:dyDescent="0.25">
      <c r="A75" s="20"/>
      <c r="B75" s="47"/>
      <c r="C75" s="51"/>
      <c r="D75" s="51"/>
      <c r="E75" s="51"/>
      <c r="F75" s="48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</row>
    <row r="76" spans="1:78" ht="15.75" x14ac:dyDescent="0.25">
      <c r="A76" s="20"/>
      <c r="B76" s="47"/>
      <c r="C76" s="51"/>
      <c r="D76" s="51"/>
      <c r="E76" s="51"/>
      <c r="F76" s="48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</row>
    <row r="77" spans="1:78" ht="15.75" x14ac:dyDescent="0.25">
      <c r="A77" s="20"/>
      <c r="B77" s="47"/>
      <c r="C77" s="51"/>
      <c r="D77" s="51"/>
      <c r="E77" s="51"/>
      <c r="F77" s="48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</row>
    <row r="78" spans="1:78" ht="15.75" x14ac:dyDescent="0.25">
      <c r="A78" s="20"/>
      <c r="B78" s="47"/>
      <c r="C78" s="51"/>
      <c r="D78" s="51"/>
      <c r="E78" s="51"/>
      <c r="F78" s="48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</row>
    <row r="79" spans="1:78" ht="15.75" x14ac:dyDescent="0.25">
      <c r="A79" s="20"/>
      <c r="B79" s="47"/>
      <c r="C79" s="51"/>
      <c r="D79" s="51"/>
      <c r="E79" s="51"/>
      <c r="F79" s="48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</row>
    <row r="80" spans="1:78" ht="15.75" x14ac:dyDescent="0.25">
      <c r="A80" s="20"/>
      <c r="B80" s="47"/>
      <c r="C80" s="51"/>
      <c r="D80" s="51"/>
      <c r="E80" s="51"/>
      <c r="F80" s="48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</row>
    <row r="81" spans="1:78" ht="15.75" x14ac:dyDescent="0.25">
      <c r="A81" s="20"/>
      <c r="B81" s="47"/>
      <c r="C81" s="51"/>
      <c r="D81" s="51"/>
      <c r="E81" s="51"/>
      <c r="F81" s="48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</row>
    <row r="82" spans="1:78" ht="15.75" x14ac:dyDescent="0.25">
      <c r="A82" s="20"/>
      <c r="B82" s="47"/>
      <c r="C82" s="51"/>
      <c r="D82" s="51"/>
      <c r="E82" s="51"/>
      <c r="F82" s="48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</row>
    <row r="83" spans="1:78" ht="15.75" x14ac:dyDescent="0.25">
      <c r="A83" s="20"/>
      <c r="B83" s="47"/>
      <c r="C83" s="51"/>
      <c r="D83" s="51"/>
      <c r="E83" s="51"/>
      <c r="F83" s="48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</row>
    <row r="84" spans="1:78" ht="15.75" x14ac:dyDescent="0.25">
      <c r="A84" s="20"/>
      <c r="B84" s="47"/>
      <c r="C84" s="51"/>
      <c r="D84" s="51"/>
      <c r="E84" s="51"/>
      <c r="F84" s="48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</row>
    <row r="85" spans="1:78" ht="15.75" x14ac:dyDescent="0.25">
      <c r="A85" s="20"/>
      <c r="B85" s="47"/>
      <c r="C85" s="51"/>
      <c r="D85" s="51"/>
      <c r="E85" s="51"/>
      <c r="F85" s="48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</row>
    <row r="86" spans="1:78" ht="15.75" x14ac:dyDescent="0.25">
      <c r="A86" s="20"/>
      <c r="B86" s="47"/>
      <c r="C86" s="51"/>
      <c r="D86" s="51"/>
      <c r="E86" s="51"/>
      <c r="F86" s="48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</row>
    <row r="87" spans="1:78" ht="15.75" x14ac:dyDescent="0.25">
      <c r="A87" s="20"/>
      <c r="B87" s="47"/>
      <c r="C87" s="51"/>
      <c r="D87" s="51"/>
      <c r="E87" s="51"/>
      <c r="F87" s="48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</row>
    <row r="88" spans="1:78" ht="15.75" x14ac:dyDescent="0.25">
      <c r="A88" s="20"/>
      <c r="B88" s="47"/>
      <c r="C88" s="51"/>
      <c r="D88" s="51"/>
      <c r="E88" s="51"/>
      <c r="F88" s="48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</row>
    <row r="89" spans="1:78" ht="15.75" x14ac:dyDescent="0.25">
      <c r="A89" s="20"/>
      <c r="B89" s="47"/>
      <c r="C89" s="51"/>
      <c r="D89" s="51"/>
      <c r="E89" s="51"/>
      <c r="F89" s="48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</row>
    <row r="90" spans="1:78" ht="15.75" x14ac:dyDescent="0.25">
      <c r="A90" s="20"/>
      <c r="B90" s="47"/>
      <c r="C90" s="51"/>
      <c r="D90" s="51"/>
      <c r="E90" s="51"/>
      <c r="F90" s="48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</row>
    <row r="91" spans="1:78" ht="15.75" x14ac:dyDescent="0.25">
      <c r="A91" s="20"/>
      <c r="B91" s="47"/>
      <c r="C91" s="51"/>
      <c r="D91" s="51"/>
      <c r="E91" s="51"/>
      <c r="F91" s="48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</row>
    <row r="92" spans="1:78" ht="15.75" x14ac:dyDescent="0.25">
      <c r="A92" s="20"/>
      <c r="B92" s="47"/>
      <c r="C92" s="51"/>
      <c r="D92" s="51"/>
      <c r="E92" s="51"/>
      <c r="F92" s="48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</row>
    <row r="93" spans="1:78" ht="15.75" x14ac:dyDescent="0.25">
      <c r="A93" s="20"/>
      <c r="B93" s="47"/>
      <c r="C93" s="51"/>
      <c r="D93" s="51"/>
      <c r="E93" s="51"/>
      <c r="F93" s="48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</row>
    <row r="94" spans="1:78" ht="15.75" x14ac:dyDescent="0.25">
      <c r="A94" s="20"/>
      <c r="B94" s="47"/>
      <c r="C94" s="51"/>
      <c r="D94" s="51"/>
      <c r="E94" s="51"/>
      <c r="F94" s="48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</row>
    <row r="95" spans="1:78" ht="15.75" x14ac:dyDescent="0.25">
      <c r="A95" s="20"/>
      <c r="B95" s="47"/>
      <c r="C95" s="51"/>
      <c r="D95" s="51"/>
      <c r="E95" s="51"/>
      <c r="F95" s="48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</row>
    <row r="96" spans="1:78" ht="15.75" x14ac:dyDescent="0.25">
      <c r="A96" s="20"/>
      <c r="B96" s="47"/>
      <c r="C96" s="51"/>
      <c r="D96" s="51"/>
      <c r="E96" s="51"/>
      <c r="F96" s="48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</row>
    <row r="97" spans="1:78" ht="15.75" x14ac:dyDescent="0.25">
      <c r="A97" s="20"/>
      <c r="B97" s="47"/>
      <c r="C97" s="51"/>
      <c r="D97" s="51"/>
      <c r="E97" s="51"/>
      <c r="F97" s="48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</row>
    <row r="98" spans="1:78" ht="15.75" x14ac:dyDescent="0.25">
      <c r="A98" s="20"/>
      <c r="B98" s="47"/>
      <c r="C98" s="51"/>
      <c r="D98" s="51"/>
      <c r="E98" s="51"/>
      <c r="F98" s="48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</row>
    <row r="99" spans="1:78" ht="15.75" x14ac:dyDescent="0.25">
      <c r="A99" s="20"/>
      <c r="B99" s="47"/>
      <c r="C99" s="51"/>
      <c r="D99" s="51"/>
      <c r="E99" s="51"/>
      <c r="F99" s="48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</row>
    <row r="100" spans="1:78" ht="15.75" x14ac:dyDescent="0.25">
      <c r="A100" s="20"/>
      <c r="B100" s="47"/>
      <c r="C100" s="51"/>
      <c r="D100" s="51"/>
      <c r="E100" s="51"/>
      <c r="F100" s="48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</row>
    <row r="101" spans="1:78" ht="15.75" x14ac:dyDescent="0.25">
      <c r="A101" s="20"/>
      <c r="B101" s="47"/>
      <c r="C101" s="51"/>
      <c r="D101" s="51"/>
      <c r="E101" s="51"/>
      <c r="F101" s="48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</row>
    <row r="102" spans="1:78" ht="15.75" x14ac:dyDescent="0.25">
      <c r="A102" s="20"/>
      <c r="B102" s="47"/>
      <c r="C102" s="51"/>
      <c r="D102" s="51"/>
      <c r="E102" s="51"/>
      <c r="F102" s="48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</row>
    <row r="103" spans="1:78" ht="15.75" x14ac:dyDescent="0.25">
      <c r="A103" s="20"/>
      <c r="B103" s="47"/>
      <c r="C103" s="51"/>
      <c r="D103" s="51"/>
      <c r="E103" s="51"/>
      <c r="F103" s="48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</row>
    <row r="104" spans="1:78" ht="15.75" x14ac:dyDescent="0.25">
      <c r="A104" s="20"/>
      <c r="B104" s="47"/>
      <c r="C104" s="51"/>
      <c r="D104" s="51"/>
      <c r="E104" s="51"/>
      <c r="F104" s="48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</row>
    <row r="105" spans="1:78" ht="15.75" x14ac:dyDescent="0.25">
      <c r="A105" s="20"/>
      <c r="B105" s="47"/>
      <c r="C105" s="51"/>
      <c r="D105" s="51"/>
      <c r="E105" s="51"/>
      <c r="F105" s="48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</row>
    <row r="106" spans="1:78" ht="15.75" x14ac:dyDescent="0.25">
      <c r="A106" s="20"/>
      <c r="B106" s="47"/>
      <c r="C106" s="51"/>
      <c r="D106" s="51"/>
      <c r="E106" s="51"/>
      <c r="F106" s="48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</row>
    <row r="107" spans="1:78" ht="15.75" x14ac:dyDescent="0.25">
      <c r="A107" s="20"/>
      <c r="B107" s="47"/>
      <c r="C107" s="51"/>
      <c r="D107" s="51"/>
      <c r="E107" s="51"/>
      <c r="F107" s="48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</row>
    <row r="108" spans="1:78" ht="15.75" x14ac:dyDescent="0.25">
      <c r="A108" s="20"/>
      <c r="B108" s="47"/>
      <c r="C108" s="51"/>
      <c r="D108" s="51"/>
      <c r="E108" s="51"/>
      <c r="F108" s="48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</row>
    <row r="109" spans="1:78" ht="15.75" x14ac:dyDescent="0.25">
      <c r="A109" s="20"/>
      <c r="B109" s="47"/>
      <c r="C109" s="51"/>
      <c r="D109" s="51"/>
      <c r="E109" s="51"/>
      <c r="F109" s="48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</row>
    <row r="110" spans="1:78" ht="15.75" x14ac:dyDescent="0.25">
      <c r="A110" s="20"/>
      <c r="B110" s="47"/>
      <c r="C110" s="51"/>
      <c r="D110" s="51"/>
      <c r="E110" s="51"/>
      <c r="F110" s="48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</row>
    <row r="111" spans="1:78" ht="15.75" x14ac:dyDescent="0.25">
      <c r="A111" s="20"/>
      <c r="B111" s="47"/>
      <c r="C111" s="51"/>
      <c r="D111" s="51"/>
      <c r="E111" s="51"/>
      <c r="F111" s="48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</row>
    <row r="112" spans="1:78" ht="15.75" x14ac:dyDescent="0.25">
      <c r="A112" s="20"/>
      <c r="B112" s="47"/>
      <c r="C112" s="51"/>
      <c r="D112" s="51"/>
      <c r="E112" s="51"/>
      <c r="F112" s="48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</row>
    <row r="113" spans="1:78" ht="15.75" x14ac:dyDescent="0.25">
      <c r="A113" s="20"/>
      <c r="B113" s="47"/>
      <c r="C113" s="51"/>
      <c r="D113" s="51"/>
      <c r="E113" s="51"/>
      <c r="F113" s="48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</row>
    <row r="114" spans="1:78" ht="15.75" x14ac:dyDescent="0.25">
      <c r="A114" s="20"/>
      <c r="B114" s="47"/>
      <c r="C114" s="51"/>
      <c r="D114" s="51"/>
      <c r="E114" s="51"/>
      <c r="F114" s="48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</row>
    <row r="115" spans="1:78" ht="15.75" x14ac:dyDescent="0.25">
      <c r="A115" s="20"/>
      <c r="B115" s="47"/>
      <c r="C115" s="51"/>
      <c r="D115" s="51"/>
      <c r="E115" s="51"/>
      <c r="F115" s="48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</row>
    <row r="116" spans="1:78" ht="15.75" x14ac:dyDescent="0.25">
      <c r="A116" s="20"/>
      <c r="B116" s="47"/>
      <c r="C116" s="51"/>
      <c r="D116" s="51"/>
      <c r="E116" s="51"/>
      <c r="F116" s="48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</row>
    <row r="117" spans="1:78" ht="15.75" x14ac:dyDescent="0.25">
      <c r="A117" s="20"/>
      <c r="B117" s="47"/>
      <c r="C117" s="51"/>
      <c r="D117" s="51"/>
      <c r="E117" s="51"/>
      <c r="F117" s="48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</row>
    <row r="118" spans="1:78" ht="15.75" x14ac:dyDescent="0.25">
      <c r="A118" s="20"/>
      <c r="B118" s="47"/>
      <c r="C118" s="51"/>
      <c r="D118" s="51"/>
      <c r="E118" s="51"/>
      <c r="F118" s="48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</row>
    <row r="119" spans="1:78" ht="15.75" x14ac:dyDescent="0.25">
      <c r="A119" s="20"/>
      <c r="B119" s="47"/>
      <c r="C119" s="51"/>
      <c r="D119" s="51"/>
      <c r="E119" s="51"/>
      <c r="F119" s="48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</row>
    <row r="120" spans="1:78" ht="15.75" x14ac:dyDescent="0.25">
      <c r="A120" s="20"/>
      <c r="B120" s="47"/>
      <c r="C120" s="51"/>
      <c r="D120" s="51"/>
      <c r="E120" s="51"/>
      <c r="F120" s="48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</row>
    <row r="121" spans="1:78" ht="15.75" x14ac:dyDescent="0.25">
      <c r="A121" s="20"/>
      <c r="B121" s="47"/>
      <c r="C121" s="51"/>
      <c r="D121" s="51"/>
      <c r="E121" s="51"/>
      <c r="F121" s="48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</row>
    <row r="122" spans="1:78" ht="15.75" x14ac:dyDescent="0.25">
      <c r="A122" s="20"/>
      <c r="B122" s="47"/>
      <c r="C122" s="51"/>
      <c r="D122" s="51"/>
      <c r="E122" s="51"/>
      <c r="F122" s="48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</row>
    <row r="123" spans="1:78" ht="15.75" x14ac:dyDescent="0.25">
      <c r="A123" s="20"/>
      <c r="B123" s="47"/>
      <c r="C123" s="51"/>
      <c r="D123" s="51"/>
      <c r="E123" s="51"/>
      <c r="F123" s="48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</row>
    <row r="124" spans="1:78" ht="15.75" x14ac:dyDescent="0.25">
      <c r="A124" s="20"/>
      <c r="B124" s="47"/>
      <c r="C124" s="51"/>
      <c r="D124" s="51"/>
      <c r="E124" s="51"/>
      <c r="F124" s="48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</row>
    <row r="125" spans="1:78" ht="15.75" x14ac:dyDescent="0.25">
      <c r="A125" s="20"/>
      <c r="B125" s="47"/>
      <c r="C125" s="51"/>
      <c r="D125" s="51"/>
      <c r="E125" s="51"/>
      <c r="F125" s="48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</row>
    <row r="126" spans="1:78" ht="15.75" x14ac:dyDescent="0.25">
      <c r="A126" s="20"/>
      <c r="B126" s="47"/>
      <c r="C126" s="51"/>
      <c r="D126" s="51"/>
      <c r="E126" s="51"/>
      <c r="F126" s="48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</row>
    <row r="127" spans="1:78" ht="15.75" x14ac:dyDescent="0.25">
      <c r="A127" s="20"/>
      <c r="B127" s="47"/>
      <c r="C127" s="51"/>
      <c r="D127" s="51"/>
      <c r="E127" s="51"/>
      <c r="F127" s="48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</row>
    <row r="128" spans="1:78" ht="15.75" x14ac:dyDescent="0.25">
      <c r="A128" s="20"/>
      <c r="B128" s="47"/>
      <c r="C128" s="51"/>
      <c r="D128" s="51"/>
      <c r="E128" s="51"/>
      <c r="F128" s="48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</row>
    <row r="129" spans="1:78" ht="15.75" x14ac:dyDescent="0.25">
      <c r="A129" s="20"/>
      <c r="B129" s="47"/>
      <c r="C129" s="51"/>
      <c r="D129" s="51"/>
      <c r="E129" s="51"/>
      <c r="F129" s="48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</row>
    <row r="130" spans="1:78" ht="15.75" x14ac:dyDescent="0.25">
      <c r="A130" s="20"/>
      <c r="B130" s="47"/>
      <c r="C130" s="51"/>
      <c r="D130" s="51"/>
      <c r="E130" s="51"/>
      <c r="F130" s="48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</row>
    <row r="131" spans="1:78" ht="15.75" x14ac:dyDescent="0.25">
      <c r="A131" s="20"/>
      <c r="B131" s="47"/>
      <c r="C131" s="51"/>
      <c r="D131" s="51"/>
      <c r="E131" s="51"/>
      <c r="F131" s="48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</row>
    <row r="132" spans="1:78" ht="15.75" x14ac:dyDescent="0.25">
      <c r="A132" s="20"/>
      <c r="B132" s="47"/>
      <c r="C132" s="51"/>
      <c r="D132" s="51"/>
      <c r="E132" s="51"/>
      <c r="F132" s="48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</row>
    <row r="133" spans="1:78" ht="15.75" x14ac:dyDescent="0.25">
      <c r="A133" s="20"/>
      <c r="B133" s="47"/>
      <c r="C133" s="51"/>
      <c r="D133" s="51"/>
      <c r="E133" s="51"/>
      <c r="F133" s="48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</row>
    <row r="134" spans="1:78" ht="15.75" x14ac:dyDescent="0.25">
      <c r="A134" s="20"/>
      <c r="B134" s="47"/>
      <c r="C134" s="51"/>
      <c r="D134" s="51"/>
      <c r="E134" s="51"/>
      <c r="F134" s="48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</row>
    <row r="135" spans="1:78" ht="15.75" x14ac:dyDescent="0.25">
      <c r="A135" s="20"/>
      <c r="B135" s="47"/>
      <c r="C135" s="51"/>
      <c r="D135" s="51"/>
      <c r="E135" s="51"/>
      <c r="F135" s="48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</row>
    <row r="136" spans="1:78" ht="15.75" x14ac:dyDescent="0.25">
      <c r="A136" s="20"/>
      <c r="B136" s="47"/>
      <c r="C136" s="51"/>
      <c r="D136" s="51"/>
      <c r="E136" s="51"/>
      <c r="F136" s="48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</row>
    <row r="137" spans="1:78" ht="15.75" x14ac:dyDescent="0.25">
      <c r="A137" s="20"/>
      <c r="B137" s="47"/>
      <c r="C137" s="51"/>
      <c r="D137" s="51"/>
      <c r="E137" s="51"/>
      <c r="F137" s="48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</row>
    <row r="138" spans="1:78" ht="15.75" x14ac:dyDescent="0.25">
      <c r="A138" s="20"/>
      <c r="B138" s="47"/>
      <c r="C138" s="51"/>
      <c r="D138" s="51"/>
      <c r="E138" s="51"/>
      <c r="F138" s="48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</row>
    <row r="139" spans="1:78" ht="15.75" x14ac:dyDescent="0.25">
      <c r="A139" s="20"/>
      <c r="B139" s="47"/>
      <c r="C139" s="51"/>
      <c r="D139" s="51"/>
      <c r="E139" s="51"/>
      <c r="F139" s="48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</row>
    <row r="140" spans="1:78" ht="15.75" x14ac:dyDescent="0.25">
      <c r="A140" s="20"/>
      <c r="B140" s="47"/>
      <c r="C140" s="51"/>
      <c r="D140" s="51"/>
      <c r="E140" s="51"/>
      <c r="F140" s="48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</row>
    <row r="141" spans="1:78" ht="15.75" x14ac:dyDescent="0.25">
      <c r="A141" s="20"/>
      <c r="B141" s="47"/>
      <c r="C141" s="51"/>
      <c r="D141" s="51"/>
      <c r="E141" s="51"/>
      <c r="F141" s="48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</row>
    <row r="142" spans="1:78" ht="15.75" x14ac:dyDescent="0.25">
      <c r="A142" s="20"/>
      <c r="B142" s="47"/>
      <c r="C142" s="51"/>
      <c r="D142" s="51"/>
      <c r="E142" s="51"/>
      <c r="F142" s="48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</row>
    <row r="143" spans="1:78" ht="15.75" x14ac:dyDescent="0.25">
      <c r="A143" s="20"/>
      <c r="B143" s="47"/>
      <c r="C143" s="51"/>
      <c r="D143" s="51"/>
      <c r="E143" s="51"/>
      <c r="F143" s="48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</row>
    <row r="144" spans="1:78" ht="15.75" x14ac:dyDescent="0.25">
      <c r="A144" s="20"/>
      <c r="B144" s="47"/>
      <c r="C144" s="51"/>
      <c r="D144" s="51"/>
      <c r="E144" s="51"/>
      <c r="F144" s="48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</row>
    <row r="145" spans="1:78" ht="15.75" x14ac:dyDescent="0.25">
      <c r="A145" s="20"/>
      <c r="B145" s="47"/>
      <c r="C145" s="51"/>
      <c r="D145" s="51"/>
      <c r="E145" s="51"/>
      <c r="F145" s="48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</row>
    <row r="146" spans="1:78" ht="15.75" x14ac:dyDescent="0.25">
      <c r="A146" s="20"/>
      <c r="B146" s="47"/>
      <c r="C146" s="51"/>
      <c r="D146" s="51"/>
      <c r="E146" s="51"/>
      <c r="F146" s="48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</row>
    <row r="147" spans="1:78" ht="15.75" x14ac:dyDescent="0.25">
      <c r="A147" s="20"/>
      <c r="B147" s="47"/>
      <c r="C147" s="51"/>
      <c r="D147" s="51"/>
      <c r="E147" s="51"/>
      <c r="F147" s="48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</row>
    <row r="148" spans="1:78" ht="15.75" x14ac:dyDescent="0.25">
      <c r="A148" s="20"/>
      <c r="B148" s="47"/>
      <c r="C148" s="51"/>
      <c r="D148" s="51"/>
      <c r="E148" s="51"/>
      <c r="F148" s="48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</row>
    <row r="149" spans="1:78" ht="15.75" x14ac:dyDescent="0.25">
      <c r="A149" s="20"/>
      <c r="B149" s="47"/>
      <c r="C149" s="51"/>
      <c r="D149" s="51"/>
      <c r="E149" s="51"/>
      <c r="F149" s="48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</row>
    <row r="150" spans="1:78" ht="15.75" x14ac:dyDescent="0.25">
      <c r="A150" s="20"/>
      <c r="B150" s="47"/>
      <c r="C150" s="51"/>
      <c r="D150" s="51"/>
      <c r="E150" s="51"/>
      <c r="F150" s="48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</row>
    <row r="151" spans="1:78" ht="15.75" x14ac:dyDescent="0.25">
      <c r="A151" s="20"/>
      <c r="B151" s="47"/>
      <c r="C151" s="51"/>
      <c r="D151" s="51"/>
      <c r="E151" s="51"/>
      <c r="F151" s="48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</row>
    <row r="152" spans="1:78" ht="15.75" x14ac:dyDescent="0.25">
      <c r="A152" s="20"/>
      <c r="B152" s="47"/>
      <c r="C152" s="51"/>
      <c r="D152" s="51"/>
      <c r="E152" s="51"/>
      <c r="F152" s="48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</row>
    <row r="153" spans="1:78" ht="15.75" x14ac:dyDescent="0.25">
      <c r="A153" s="20"/>
      <c r="B153" s="47"/>
      <c r="C153" s="51"/>
      <c r="D153" s="51"/>
      <c r="E153" s="51"/>
      <c r="F153" s="48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</row>
    <row r="154" spans="1:78" ht="15.75" x14ac:dyDescent="0.25">
      <c r="A154" s="20"/>
      <c r="B154" s="47"/>
      <c r="C154" s="51"/>
      <c r="D154" s="51"/>
      <c r="E154" s="51"/>
      <c r="F154" s="48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</row>
    <row r="155" spans="1:78" ht="15.75" x14ac:dyDescent="0.25">
      <c r="A155" s="20"/>
      <c r="B155" s="47"/>
      <c r="C155" s="51"/>
      <c r="D155" s="51"/>
      <c r="E155" s="51"/>
      <c r="F155" s="48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</row>
    <row r="156" spans="1:78" ht="15.75" x14ac:dyDescent="0.25">
      <c r="A156" s="20"/>
      <c r="B156" s="47"/>
      <c r="C156" s="51"/>
      <c r="D156" s="51"/>
      <c r="E156" s="51"/>
      <c r="F156" s="48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</row>
    <row r="157" spans="1:78" ht="15.75" x14ac:dyDescent="0.25">
      <c r="A157" s="20"/>
      <c r="B157" s="47"/>
      <c r="C157" s="51"/>
      <c r="D157" s="51"/>
      <c r="E157" s="51"/>
      <c r="F157" s="48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</row>
    <row r="158" spans="1:78" ht="15.75" x14ac:dyDescent="0.25">
      <c r="A158" s="20"/>
      <c r="B158" s="47"/>
      <c r="C158" s="51"/>
      <c r="D158" s="51"/>
      <c r="E158" s="51"/>
      <c r="F158" s="48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</row>
    <row r="159" spans="1:78" ht="15.75" x14ac:dyDescent="0.25">
      <c r="A159" s="20"/>
      <c r="B159" s="47"/>
      <c r="C159" s="51"/>
      <c r="D159" s="51"/>
      <c r="E159" s="51"/>
      <c r="F159" s="48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</row>
    <row r="160" spans="1:78" ht="15.75" x14ac:dyDescent="0.25">
      <c r="A160" s="20"/>
      <c r="B160" s="47"/>
      <c r="C160" s="51"/>
      <c r="D160" s="51"/>
      <c r="E160" s="51"/>
      <c r="F160" s="48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</row>
    <row r="161" spans="1:78" ht="15.75" x14ac:dyDescent="0.25">
      <c r="A161" s="20"/>
      <c r="B161" s="47"/>
      <c r="C161" s="51"/>
      <c r="D161" s="51"/>
      <c r="E161" s="51"/>
      <c r="F161" s="48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</row>
    <row r="162" spans="1:78" ht="15.75" x14ac:dyDescent="0.25">
      <c r="A162" s="20"/>
      <c r="B162" s="47"/>
      <c r="C162" s="51"/>
      <c r="D162" s="51"/>
      <c r="E162" s="51"/>
      <c r="F162" s="48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</row>
    <row r="163" spans="1:78" ht="15.75" x14ac:dyDescent="0.25">
      <c r="A163" s="20"/>
      <c r="B163" s="47"/>
      <c r="C163" s="51"/>
      <c r="D163" s="51"/>
      <c r="E163" s="51"/>
      <c r="F163" s="48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</row>
    <row r="164" spans="1:78" ht="15.75" x14ac:dyDescent="0.25">
      <c r="A164" s="20"/>
      <c r="B164" s="47"/>
      <c r="C164" s="51"/>
      <c r="D164" s="51"/>
      <c r="E164" s="51"/>
      <c r="F164" s="48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</row>
    <row r="165" spans="1:78" ht="15.75" x14ac:dyDescent="0.25">
      <c r="A165" s="20"/>
      <c r="B165" s="47"/>
      <c r="C165" s="51"/>
      <c r="D165" s="51"/>
      <c r="E165" s="51"/>
      <c r="F165" s="48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</row>
    <row r="166" spans="1:78" ht="15.75" x14ac:dyDescent="0.25">
      <c r="A166" s="20"/>
      <c r="B166" s="47"/>
      <c r="C166" s="51"/>
      <c r="D166" s="51"/>
      <c r="E166" s="51"/>
      <c r="F166" s="48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</row>
    <row r="167" spans="1:78" ht="15.75" x14ac:dyDescent="0.25">
      <c r="A167" s="20"/>
      <c r="B167" s="47"/>
      <c r="C167" s="51"/>
      <c r="D167" s="51"/>
      <c r="E167" s="51"/>
      <c r="F167" s="48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</row>
    <row r="168" spans="1:78" ht="15.75" x14ac:dyDescent="0.25">
      <c r="A168" s="20"/>
      <c r="B168" s="47"/>
      <c r="C168" s="51"/>
      <c r="D168" s="51"/>
      <c r="E168" s="51"/>
      <c r="F168" s="48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</row>
    <row r="169" spans="1:78" ht="15.75" x14ac:dyDescent="0.25">
      <c r="A169" s="20"/>
      <c r="B169" s="47"/>
      <c r="C169" s="51"/>
      <c r="D169" s="51"/>
      <c r="E169" s="51"/>
      <c r="F169" s="48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</row>
    <row r="170" spans="1:78" ht="15.75" x14ac:dyDescent="0.25">
      <c r="A170" s="20"/>
      <c r="B170" s="47"/>
      <c r="C170" s="51"/>
      <c r="D170" s="51"/>
      <c r="E170" s="51"/>
      <c r="F170" s="48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</row>
    <row r="171" spans="1:78" ht="15.75" x14ac:dyDescent="0.25">
      <c r="A171" s="20"/>
      <c r="B171" s="47"/>
      <c r="C171" s="51"/>
      <c r="D171" s="51"/>
      <c r="E171" s="51"/>
      <c r="F171" s="48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</row>
    <row r="172" spans="1:78" ht="15.75" x14ac:dyDescent="0.25">
      <c r="A172" s="20"/>
      <c r="B172" s="47"/>
      <c r="C172" s="51"/>
      <c r="D172" s="51"/>
      <c r="E172" s="51"/>
      <c r="F172" s="48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</row>
    <row r="173" spans="1:78" ht="15.75" x14ac:dyDescent="0.25">
      <c r="A173" s="20"/>
      <c r="B173" s="47"/>
      <c r="C173" s="51"/>
      <c r="D173" s="51"/>
      <c r="E173" s="51"/>
      <c r="F173" s="48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</row>
    <row r="174" spans="1:78" ht="15.75" x14ac:dyDescent="0.25">
      <c r="A174" s="20"/>
      <c r="B174" s="47"/>
      <c r="C174" s="51"/>
      <c r="D174" s="51"/>
      <c r="E174" s="51"/>
      <c r="F174" s="48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</row>
    <row r="175" spans="1:78" ht="15.75" x14ac:dyDescent="0.25">
      <c r="A175" s="20"/>
      <c r="B175" s="47"/>
      <c r="C175" s="51"/>
      <c r="D175" s="51"/>
      <c r="E175" s="51"/>
      <c r="F175" s="48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</row>
    <row r="176" spans="1:78" ht="15.75" x14ac:dyDescent="0.25">
      <c r="A176" s="20"/>
      <c r="B176" s="47"/>
      <c r="C176" s="51"/>
      <c r="D176" s="51"/>
      <c r="E176" s="51"/>
      <c r="F176" s="48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</row>
    <row r="177" spans="1:78" ht="15.75" x14ac:dyDescent="0.25">
      <c r="A177" s="20"/>
      <c r="B177" s="47"/>
      <c r="C177" s="51"/>
      <c r="D177" s="51"/>
      <c r="E177" s="51"/>
      <c r="F177" s="48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</row>
    <row r="178" spans="1:78" ht="15.75" x14ac:dyDescent="0.25">
      <c r="A178" s="20"/>
      <c r="B178" s="47"/>
      <c r="C178" s="51"/>
      <c r="D178" s="51"/>
      <c r="E178" s="51"/>
      <c r="F178" s="48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</row>
    <row r="179" spans="1:78" ht="15.75" x14ac:dyDescent="0.25">
      <c r="A179" s="20"/>
      <c r="B179" s="47"/>
      <c r="C179" s="51"/>
      <c r="D179" s="51"/>
      <c r="E179" s="51"/>
      <c r="F179" s="48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</row>
    <row r="180" spans="1:78" ht="15.75" x14ac:dyDescent="0.25">
      <c r="A180" s="20"/>
      <c r="B180" s="47"/>
      <c r="C180" s="51"/>
      <c r="D180" s="51"/>
      <c r="E180" s="51"/>
      <c r="F180" s="48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</row>
    <row r="181" spans="1:78" ht="15.75" x14ac:dyDescent="0.25">
      <c r="A181" s="20"/>
      <c r="B181" s="47"/>
      <c r="C181" s="51"/>
      <c r="D181" s="51"/>
      <c r="E181" s="51"/>
      <c r="F181" s="48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</row>
    <row r="182" spans="1:78" ht="15.75" x14ac:dyDescent="0.25">
      <c r="A182" s="20"/>
      <c r="B182" s="47"/>
      <c r="C182" s="51"/>
      <c r="D182" s="51"/>
      <c r="E182" s="51"/>
      <c r="F182" s="48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</row>
    <row r="183" spans="1:78" ht="15.75" x14ac:dyDescent="0.25">
      <c r="A183" s="20"/>
      <c r="B183" s="47"/>
      <c r="C183" s="51"/>
      <c r="D183" s="51"/>
      <c r="E183" s="51"/>
      <c r="F183" s="48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</row>
    <row r="184" spans="1:78" ht="15.75" x14ac:dyDescent="0.25">
      <c r="A184" s="20"/>
      <c r="B184" s="47"/>
      <c r="C184" s="51"/>
      <c r="D184" s="51"/>
      <c r="E184" s="51"/>
      <c r="F184" s="48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</row>
    <row r="185" spans="1:78" ht="15.75" x14ac:dyDescent="0.25">
      <c r="A185" s="20"/>
      <c r="B185" s="47"/>
      <c r="C185" s="51"/>
      <c r="D185" s="51"/>
      <c r="E185" s="51"/>
      <c r="F185" s="48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</row>
    <row r="186" spans="1:78" ht="15.75" x14ac:dyDescent="0.25">
      <c r="A186" s="20"/>
      <c r="B186" s="47"/>
      <c r="C186" s="51"/>
      <c r="D186" s="51"/>
      <c r="E186" s="51"/>
      <c r="F186" s="48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</row>
    <row r="187" spans="1:78" ht="15.75" x14ac:dyDescent="0.25">
      <c r="A187" s="20"/>
      <c r="B187" s="47"/>
      <c r="C187" s="51"/>
      <c r="D187" s="51"/>
      <c r="E187" s="51"/>
      <c r="F187" s="48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</row>
    <row r="188" spans="1:78" ht="15.75" x14ac:dyDescent="0.25">
      <c r="A188" s="20"/>
      <c r="B188" s="47"/>
      <c r="C188" s="51"/>
      <c r="D188" s="51"/>
      <c r="E188" s="51"/>
      <c r="F188" s="48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</row>
    <row r="189" spans="1:78" ht="15.75" x14ac:dyDescent="0.25">
      <c r="A189" s="20"/>
      <c r="B189" s="47"/>
      <c r="C189" s="51"/>
      <c r="D189" s="51"/>
      <c r="E189" s="51"/>
      <c r="F189" s="48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</row>
    <row r="190" spans="1:78" ht="15.75" x14ac:dyDescent="0.25">
      <c r="A190" s="20"/>
      <c r="B190" s="47"/>
      <c r="C190" s="51"/>
      <c r="D190" s="51"/>
      <c r="E190" s="51"/>
      <c r="F190" s="48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</row>
    <row r="191" spans="1:78" ht="15.75" x14ac:dyDescent="0.25">
      <c r="A191" s="20"/>
      <c r="B191" s="47"/>
      <c r="C191" s="51"/>
      <c r="D191" s="51"/>
      <c r="E191" s="51"/>
      <c r="F191" s="48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</row>
    <row r="192" spans="1:78" ht="15.75" x14ac:dyDescent="0.25">
      <c r="A192" s="20"/>
      <c r="B192" s="47"/>
      <c r="C192" s="51"/>
      <c r="D192" s="51"/>
      <c r="E192" s="51"/>
      <c r="F192" s="48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</row>
    <row r="193" spans="1:78" ht="15.75" x14ac:dyDescent="0.25">
      <c r="A193" s="20"/>
      <c r="B193" s="47"/>
      <c r="C193" s="51"/>
      <c r="D193" s="51"/>
      <c r="E193" s="51"/>
      <c r="F193" s="48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</row>
    <row r="194" spans="1:78" ht="15.75" x14ac:dyDescent="0.25">
      <c r="A194" s="20"/>
      <c r="B194" s="47"/>
      <c r="C194" s="51"/>
      <c r="D194" s="51"/>
      <c r="E194" s="51"/>
      <c r="F194" s="48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</row>
    <row r="195" spans="1:78" ht="15.75" x14ac:dyDescent="0.25">
      <c r="A195" s="20"/>
      <c r="B195" s="47"/>
      <c r="C195" s="51"/>
      <c r="D195" s="51"/>
      <c r="E195" s="51"/>
      <c r="F195" s="48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</row>
    <row r="196" spans="1:78" ht="15.75" x14ac:dyDescent="0.25">
      <c r="A196" s="20"/>
      <c r="B196" s="47"/>
      <c r="C196" s="51"/>
      <c r="D196" s="51"/>
      <c r="E196" s="51"/>
      <c r="F196" s="48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</row>
    <row r="197" spans="1:78" ht="15.75" x14ac:dyDescent="0.25">
      <c r="A197" s="20"/>
      <c r="B197" s="47"/>
      <c r="C197" s="51"/>
      <c r="D197" s="51"/>
      <c r="E197" s="51"/>
      <c r="F197" s="48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</row>
    <row r="198" spans="1:78" ht="15.75" x14ac:dyDescent="0.25">
      <c r="A198" s="20"/>
      <c r="B198" s="47"/>
      <c r="C198" s="51"/>
      <c r="D198" s="51"/>
      <c r="E198" s="51"/>
      <c r="F198" s="48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</row>
    <row r="199" spans="1:78" ht="15.75" x14ac:dyDescent="0.25">
      <c r="A199" s="20"/>
      <c r="B199" s="47"/>
      <c r="C199" s="51"/>
      <c r="D199" s="51"/>
      <c r="E199" s="51"/>
      <c r="F199" s="48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</row>
    <row r="200" spans="1:78" ht="15.75" x14ac:dyDescent="0.25">
      <c r="A200" s="20"/>
      <c r="B200" s="47"/>
      <c r="C200" s="51"/>
      <c r="D200" s="51"/>
      <c r="E200" s="51"/>
      <c r="F200" s="48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</row>
    <row r="201" spans="1:78" ht="15.75" x14ac:dyDescent="0.25">
      <c r="A201" s="20"/>
      <c r="B201" s="47"/>
      <c r="C201" s="51"/>
      <c r="D201" s="51"/>
      <c r="E201" s="51"/>
      <c r="F201" s="48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</row>
    <row r="202" spans="1:78" ht="15.75" x14ac:dyDescent="0.25">
      <c r="A202" s="20"/>
      <c r="B202" s="47"/>
      <c r="C202" s="51"/>
      <c r="D202" s="51"/>
      <c r="E202" s="51"/>
      <c r="F202" s="48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</row>
    <row r="203" spans="1:78" ht="15.75" x14ac:dyDescent="0.25">
      <c r="A203" s="20"/>
      <c r="B203" s="47"/>
      <c r="C203" s="51"/>
      <c r="D203" s="51"/>
      <c r="E203" s="51"/>
      <c r="F203" s="48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</row>
    <row r="204" spans="1:78" ht="15.75" x14ac:dyDescent="0.25">
      <c r="A204" s="20"/>
      <c r="B204" s="47"/>
      <c r="C204" s="51"/>
      <c r="D204" s="51"/>
      <c r="E204" s="51"/>
      <c r="F204" s="48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</row>
    <row r="205" spans="1:78" ht="15.75" x14ac:dyDescent="0.25">
      <c r="A205" s="20"/>
      <c r="B205" s="47"/>
      <c r="C205" s="51"/>
      <c r="D205" s="51"/>
      <c r="E205" s="51"/>
      <c r="F205" s="48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</row>
    <row r="206" spans="1:78" ht="15.75" x14ac:dyDescent="0.25">
      <c r="A206" s="20"/>
      <c r="B206" s="47"/>
      <c r="C206" s="51"/>
      <c r="D206" s="51"/>
      <c r="E206" s="51"/>
      <c r="F206" s="48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</row>
    <row r="207" spans="1:78" ht="15.75" x14ac:dyDescent="0.25">
      <c r="A207" s="20"/>
      <c r="B207" s="47"/>
      <c r="C207" s="51"/>
      <c r="D207" s="51"/>
      <c r="E207" s="51"/>
      <c r="F207" s="48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</row>
    <row r="208" spans="1:78" ht="15.75" x14ac:dyDescent="0.25">
      <c r="A208" s="20"/>
      <c r="B208" s="47"/>
      <c r="C208" s="51"/>
      <c r="D208" s="51"/>
      <c r="E208" s="51"/>
      <c r="F208" s="48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</row>
    <row r="209" spans="1:78" ht="15.75" x14ac:dyDescent="0.25">
      <c r="A209" s="20"/>
      <c r="B209" s="47"/>
      <c r="C209" s="51"/>
      <c r="D209" s="51"/>
      <c r="E209" s="51"/>
      <c r="F209" s="48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</row>
    <row r="210" spans="1:78" ht="15.75" x14ac:dyDescent="0.25">
      <c r="A210" s="20"/>
      <c r="B210" s="47"/>
      <c r="C210" s="51"/>
      <c r="D210" s="51"/>
      <c r="E210" s="51"/>
      <c r="F210" s="48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</row>
    <row r="211" spans="1:78" ht="15.75" x14ac:dyDescent="0.25">
      <c r="A211" s="20"/>
      <c r="B211" s="47"/>
      <c r="C211" s="51"/>
      <c r="D211" s="51"/>
      <c r="E211" s="51"/>
      <c r="F211" s="48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</row>
    <row r="212" spans="1:78" ht="15.75" x14ac:dyDescent="0.25">
      <c r="A212" s="20"/>
      <c r="B212" s="47"/>
      <c r="C212" s="51"/>
      <c r="D212" s="51"/>
      <c r="E212" s="51"/>
      <c r="F212" s="48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</row>
    <row r="213" spans="1:78" ht="15.75" x14ac:dyDescent="0.25">
      <c r="A213" s="20"/>
      <c r="B213" s="47"/>
      <c r="C213" s="51"/>
      <c r="D213" s="51"/>
      <c r="E213" s="51"/>
      <c r="F213" s="48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</row>
    <row r="214" spans="1:78" ht="15.75" x14ac:dyDescent="0.25">
      <c r="A214" s="20"/>
      <c r="B214" s="47"/>
      <c r="C214" s="51"/>
      <c r="D214" s="51"/>
      <c r="E214" s="51"/>
      <c r="F214" s="48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</row>
    <row r="215" spans="1:78" ht="15.75" x14ac:dyDescent="0.25">
      <c r="A215" s="20"/>
      <c r="B215" s="47"/>
      <c r="C215" s="51"/>
      <c r="D215" s="51"/>
      <c r="E215" s="51"/>
      <c r="F215" s="48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</row>
    <row r="216" spans="1:78" ht="15.75" x14ac:dyDescent="0.25">
      <c r="A216" s="20"/>
      <c r="B216" s="47"/>
      <c r="C216" s="51"/>
      <c r="D216" s="51"/>
      <c r="E216" s="51"/>
      <c r="F216" s="48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</row>
    <row r="217" spans="1:78" ht="15.75" x14ac:dyDescent="0.25">
      <c r="A217" s="20"/>
      <c r="B217" s="47"/>
      <c r="C217" s="51"/>
      <c r="D217" s="51"/>
      <c r="E217" s="51"/>
      <c r="F217" s="48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</row>
    <row r="218" spans="1:78" ht="15.75" x14ac:dyDescent="0.25">
      <c r="A218" s="20"/>
      <c r="B218" s="47"/>
      <c r="C218" s="51"/>
      <c r="D218" s="51"/>
      <c r="E218" s="51"/>
      <c r="F218" s="48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</row>
    <row r="219" spans="1:78" ht="15.75" x14ac:dyDescent="0.25">
      <c r="A219" s="20"/>
      <c r="B219" s="47"/>
      <c r="C219" s="51"/>
      <c r="D219" s="51"/>
      <c r="E219" s="51"/>
      <c r="F219" s="48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</row>
    <row r="220" spans="1:78" ht="15.75" x14ac:dyDescent="0.25">
      <c r="A220" s="20"/>
      <c r="B220" s="47"/>
      <c r="C220" s="51"/>
      <c r="D220" s="51"/>
      <c r="E220" s="51"/>
      <c r="F220" s="48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</row>
    <row r="221" spans="1:78" ht="15.75" x14ac:dyDescent="0.25">
      <c r="A221" s="20"/>
      <c r="B221" s="47"/>
      <c r="C221" s="51"/>
      <c r="D221" s="51"/>
      <c r="E221" s="51"/>
      <c r="F221" s="48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</row>
    <row r="222" spans="1:78" ht="15.75" x14ac:dyDescent="0.25">
      <c r="A222" s="20"/>
      <c r="B222" s="47"/>
      <c r="C222" s="51"/>
      <c r="D222" s="51"/>
      <c r="E222" s="51"/>
      <c r="F222" s="48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</row>
    <row r="223" spans="1:78" ht="15.75" x14ac:dyDescent="0.25">
      <c r="A223" s="20"/>
      <c r="B223" s="47"/>
      <c r="C223" s="51"/>
      <c r="D223" s="51"/>
      <c r="E223" s="51"/>
      <c r="F223" s="48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</row>
    <row r="224" spans="1:78" ht="15.75" x14ac:dyDescent="0.25">
      <c r="A224" s="20"/>
      <c r="B224" s="47"/>
      <c r="C224" s="51"/>
      <c r="D224" s="51"/>
      <c r="E224" s="51"/>
      <c r="F224" s="48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</row>
    <row r="225" spans="1:78" ht="15.75" x14ac:dyDescent="0.25">
      <c r="A225" s="20"/>
      <c r="B225" s="47"/>
      <c r="C225" s="51"/>
      <c r="D225" s="51"/>
      <c r="E225" s="51"/>
      <c r="F225" s="48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</row>
    <row r="226" spans="1:78" ht="15.75" x14ac:dyDescent="0.25">
      <c r="A226" s="20"/>
      <c r="B226" s="47"/>
      <c r="C226" s="51"/>
      <c r="D226" s="51"/>
      <c r="E226" s="51"/>
      <c r="F226" s="48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</row>
    <row r="227" spans="1:78" ht="15.75" x14ac:dyDescent="0.25">
      <c r="A227" s="20"/>
      <c r="B227" s="47"/>
      <c r="C227" s="51"/>
      <c r="D227" s="51"/>
      <c r="E227" s="51"/>
      <c r="F227" s="48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</row>
    <row r="228" spans="1:78" ht="15.75" x14ac:dyDescent="0.25">
      <c r="A228" s="20"/>
      <c r="B228" s="47"/>
      <c r="C228" s="51"/>
      <c r="D228" s="51"/>
      <c r="E228" s="51"/>
      <c r="F228" s="48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</row>
    <row r="229" spans="1:78" ht="15.75" x14ac:dyDescent="0.25">
      <c r="A229" s="20"/>
      <c r="B229" s="47"/>
      <c r="C229" s="51"/>
      <c r="D229" s="51"/>
      <c r="E229" s="51"/>
      <c r="F229" s="48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</row>
    <row r="230" spans="1:78" ht="15.75" x14ac:dyDescent="0.25">
      <c r="A230" s="20"/>
      <c r="B230" s="47"/>
      <c r="C230" s="51"/>
      <c r="D230" s="51"/>
      <c r="E230" s="51"/>
      <c r="F230" s="48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</row>
    <row r="231" spans="1:78" ht="15.75" x14ac:dyDescent="0.25">
      <c r="A231" s="20"/>
      <c r="B231" s="47"/>
      <c r="C231" s="51"/>
      <c r="D231" s="51"/>
      <c r="E231" s="51"/>
      <c r="F231" s="48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</row>
    <row r="232" spans="1:78" ht="15.75" x14ac:dyDescent="0.25">
      <c r="A232" s="20"/>
      <c r="B232" s="47"/>
      <c r="C232" s="51"/>
      <c r="D232" s="51"/>
      <c r="E232" s="51"/>
      <c r="F232" s="48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</row>
    <row r="233" spans="1:78" ht="15.75" x14ac:dyDescent="0.25">
      <c r="A233" s="20"/>
      <c r="B233" s="47"/>
      <c r="C233" s="51"/>
      <c r="D233" s="51"/>
      <c r="E233" s="51"/>
      <c r="F233" s="48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</row>
    <row r="234" spans="1:78" ht="15.75" x14ac:dyDescent="0.25">
      <c r="A234" s="20"/>
      <c r="B234" s="47"/>
      <c r="C234" s="51"/>
      <c r="D234" s="51"/>
      <c r="E234" s="51"/>
      <c r="F234" s="48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</row>
    <row r="235" spans="1:78" ht="15.75" x14ac:dyDescent="0.25">
      <c r="A235" s="20"/>
      <c r="B235" s="47"/>
      <c r="C235" s="51"/>
      <c r="D235" s="51"/>
      <c r="E235" s="51"/>
      <c r="F235" s="48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</row>
    <row r="236" spans="1:78" ht="15.75" x14ac:dyDescent="0.25">
      <c r="A236" s="20"/>
      <c r="B236" s="47"/>
      <c r="C236" s="51"/>
      <c r="D236" s="51"/>
      <c r="E236" s="51"/>
      <c r="F236" s="48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</row>
    <row r="237" spans="1:78" ht="15.75" x14ac:dyDescent="0.25">
      <c r="A237" s="20"/>
      <c r="B237" s="47"/>
      <c r="C237" s="51"/>
      <c r="D237" s="51"/>
      <c r="E237" s="51"/>
      <c r="F237" s="48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</row>
    <row r="238" spans="1:78" ht="15.75" x14ac:dyDescent="0.25">
      <c r="A238" s="20"/>
      <c r="B238" s="47"/>
      <c r="C238" s="51"/>
      <c r="D238" s="51"/>
      <c r="E238" s="51"/>
      <c r="F238" s="48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</row>
    <row r="239" spans="1:78" ht="15.75" x14ac:dyDescent="0.25">
      <c r="A239" s="20"/>
      <c r="B239" s="47"/>
      <c r="C239" s="51"/>
      <c r="D239" s="51"/>
      <c r="E239" s="51"/>
      <c r="F239" s="48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</row>
    <row r="240" spans="1:78" ht="15.75" x14ac:dyDescent="0.25">
      <c r="A240" s="20"/>
      <c r="B240" s="47"/>
      <c r="C240" s="51"/>
      <c r="D240" s="51"/>
      <c r="E240" s="51"/>
      <c r="F240" s="48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</row>
    <row r="241" spans="1:78" ht="15.75" x14ac:dyDescent="0.25">
      <c r="A241" s="20"/>
      <c r="B241" s="47"/>
      <c r="C241" s="51"/>
      <c r="D241" s="51"/>
      <c r="E241" s="51"/>
      <c r="F241" s="48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</row>
    <row r="242" spans="1:78" ht="15.75" x14ac:dyDescent="0.25">
      <c r="A242" s="20"/>
      <c r="B242" s="47"/>
      <c r="C242" s="51"/>
      <c r="D242" s="51"/>
      <c r="E242" s="51"/>
      <c r="F242" s="48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</row>
    <row r="243" spans="1:78" ht="15.75" x14ac:dyDescent="0.25">
      <c r="A243" s="20"/>
      <c r="B243" s="47"/>
      <c r="C243" s="51"/>
      <c r="D243" s="51"/>
      <c r="E243" s="51"/>
      <c r="F243" s="48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</row>
    <row r="244" spans="1:78" ht="15.75" x14ac:dyDescent="0.25">
      <c r="A244" s="20"/>
      <c r="B244" s="47"/>
      <c r="C244" s="51"/>
      <c r="D244" s="51"/>
      <c r="E244" s="51"/>
      <c r="F244" s="48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</row>
    <row r="245" spans="1:78" ht="15.75" x14ac:dyDescent="0.25">
      <c r="A245" s="20"/>
      <c r="B245" s="47"/>
      <c r="C245" s="51"/>
      <c r="D245" s="51"/>
      <c r="E245" s="51"/>
      <c r="F245" s="48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</row>
    <row r="246" spans="1:78" ht="15.75" x14ac:dyDescent="0.25">
      <c r="A246" s="20"/>
      <c r="B246" s="47"/>
      <c r="C246" s="51"/>
      <c r="D246" s="51"/>
      <c r="E246" s="51"/>
      <c r="F246" s="48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</row>
    <row r="247" spans="1:78" ht="15.75" x14ac:dyDescent="0.25">
      <c r="A247" s="20"/>
      <c r="B247" s="47"/>
      <c r="C247" s="51"/>
      <c r="D247" s="51"/>
      <c r="E247" s="51"/>
      <c r="F247" s="48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</row>
    <row r="248" spans="1:78" ht="15.75" x14ac:dyDescent="0.25">
      <c r="A248" s="20"/>
      <c r="B248" s="47"/>
      <c r="C248" s="51"/>
      <c r="D248" s="51"/>
      <c r="E248" s="51"/>
      <c r="F248" s="48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</row>
    <row r="249" spans="1:78" ht="15.75" x14ac:dyDescent="0.25">
      <c r="A249" s="20"/>
      <c r="B249" s="47"/>
      <c r="C249" s="51"/>
      <c r="D249" s="51"/>
      <c r="E249" s="51"/>
      <c r="F249" s="48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</row>
    <row r="250" spans="1:78" ht="15.75" x14ac:dyDescent="0.25">
      <c r="A250" s="20"/>
      <c r="B250" s="47"/>
      <c r="C250" s="51"/>
      <c r="D250" s="51"/>
      <c r="E250" s="51"/>
      <c r="F250" s="48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</row>
    <row r="251" spans="1:78" ht="15.75" x14ac:dyDescent="0.25">
      <c r="A251" s="20"/>
      <c r="B251" s="47"/>
      <c r="C251" s="51"/>
      <c r="D251" s="51"/>
      <c r="E251" s="51"/>
      <c r="F251" s="48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</row>
    <row r="252" spans="1:78" ht="15.75" x14ac:dyDescent="0.25">
      <c r="A252" s="20"/>
      <c r="B252" s="47"/>
      <c r="C252" s="51"/>
      <c r="D252" s="51"/>
      <c r="E252" s="51"/>
      <c r="F252" s="48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</row>
    <row r="253" spans="1:78" ht="15.75" x14ac:dyDescent="0.25">
      <c r="A253" s="20"/>
      <c r="B253" s="47"/>
      <c r="C253" s="51"/>
      <c r="D253" s="51"/>
      <c r="E253" s="51"/>
      <c r="F253" s="48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</row>
    <row r="254" spans="1:78" ht="15.75" x14ac:dyDescent="0.25">
      <c r="A254" s="20"/>
      <c r="B254" s="47"/>
      <c r="C254" s="51"/>
      <c r="D254" s="51"/>
      <c r="E254" s="51"/>
      <c r="F254" s="48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</row>
    <row r="255" spans="1:78" ht="15.75" x14ac:dyDescent="0.25">
      <c r="A255" s="20"/>
      <c r="B255" s="47"/>
      <c r="C255" s="51"/>
      <c r="D255" s="51"/>
      <c r="E255" s="51"/>
      <c r="F255" s="48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</row>
    <row r="256" spans="1:78" ht="15.75" x14ac:dyDescent="0.25">
      <c r="A256" s="20"/>
      <c r="B256" s="47"/>
      <c r="C256" s="51"/>
      <c r="D256" s="51"/>
      <c r="E256" s="51"/>
      <c r="F256" s="48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</row>
    <row r="257" spans="1:78" ht="15.75" x14ac:dyDescent="0.25">
      <c r="A257" s="20"/>
      <c r="B257" s="47"/>
      <c r="C257" s="51"/>
      <c r="D257" s="51"/>
      <c r="E257" s="51"/>
      <c r="F257" s="48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</row>
    <row r="258" spans="1:78" ht="15.75" x14ac:dyDescent="0.25">
      <c r="A258" s="20"/>
      <c r="B258" s="47"/>
      <c r="C258" s="51"/>
      <c r="D258" s="51"/>
      <c r="E258" s="51"/>
      <c r="F258" s="48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</row>
    <row r="259" spans="1:78" ht="15.75" x14ac:dyDescent="0.25">
      <c r="A259" s="20"/>
      <c r="B259" s="47"/>
      <c r="C259" s="51"/>
      <c r="D259" s="51"/>
      <c r="E259" s="51"/>
      <c r="F259" s="48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</row>
    <row r="260" spans="1:78" ht="15.75" x14ac:dyDescent="0.25">
      <c r="A260" s="20"/>
      <c r="B260" s="47"/>
      <c r="C260" s="51"/>
      <c r="D260" s="51"/>
      <c r="E260" s="51"/>
      <c r="F260" s="48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</row>
    <row r="261" spans="1:78" ht="15.75" x14ac:dyDescent="0.25">
      <c r="A261" s="20"/>
      <c r="B261" s="47"/>
      <c r="C261" s="51"/>
      <c r="D261" s="51"/>
      <c r="E261" s="51"/>
      <c r="F261" s="48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</row>
    <row r="262" spans="1:78" ht="15.75" x14ac:dyDescent="0.25">
      <c r="A262" s="20"/>
      <c r="B262" s="47"/>
      <c r="C262" s="51"/>
      <c r="D262" s="51"/>
      <c r="E262" s="51"/>
      <c r="F262" s="48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</row>
    <row r="263" spans="1:78" ht="15.75" x14ac:dyDescent="0.25">
      <c r="A263" s="20"/>
      <c r="B263" s="47"/>
      <c r="C263" s="51"/>
      <c r="D263" s="51"/>
      <c r="E263" s="51"/>
      <c r="F263" s="48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</row>
    <row r="264" spans="1:78" ht="15.75" x14ac:dyDescent="0.25">
      <c r="A264" s="20"/>
      <c r="B264" s="47"/>
      <c r="C264" s="51"/>
      <c r="D264" s="51"/>
      <c r="E264" s="51"/>
      <c r="F264" s="48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</row>
    <row r="265" spans="1:78" ht="15.75" x14ac:dyDescent="0.25">
      <c r="A265" s="20"/>
      <c r="B265" s="47"/>
      <c r="C265" s="51"/>
      <c r="D265" s="51"/>
      <c r="E265" s="51"/>
      <c r="F265" s="48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</row>
    <row r="266" spans="1:78" ht="15.75" x14ac:dyDescent="0.25">
      <c r="A266" s="20"/>
      <c r="B266" s="47"/>
      <c r="C266" s="51"/>
      <c r="D266" s="51"/>
      <c r="E266" s="51"/>
      <c r="F266" s="48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</row>
    <row r="267" spans="1:78" ht="15.75" x14ac:dyDescent="0.25">
      <c r="A267" s="20"/>
      <c r="B267" s="47"/>
      <c r="C267" s="51"/>
      <c r="D267" s="51"/>
      <c r="E267" s="51"/>
      <c r="F267" s="48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</row>
    <row r="268" spans="1:78" ht="15.75" x14ac:dyDescent="0.25">
      <c r="A268" s="20"/>
      <c r="B268" s="47"/>
      <c r="C268" s="51"/>
      <c r="D268" s="51"/>
      <c r="E268" s="51"/>
      <c r="F268" s="48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</row>
    <row r="269" spans="1:78" ht="15.75" x14ac:dyDescent="0.25">
      <c r="A269" s="20"/>
      <c r="B269" s="47"/>
      <c r="C269" s="51"/>
      <c r="D269" s="51"/>
      <c r="E269" s="51"/>
      <c r="F269" s="48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</row>
    <row r="270" spans="1:78" ht="15.75" x14ac:dyDescent="0.25">
      <c r="A270" s="20"/>
      <c r="B270" s="47"/>
      <c r="C270" s="51"/>
      <c r="D270" s="51"/>
      <c r="E270" s="51"/>
      <c r="F270" s="48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</row>
    <row r="271" spans="1:78" ht="15.75" x14ac:dyDescent="0.25">
      <c r="A271" s="20"/>
      <c r="B271" s="47"/>
      <c r="C271" s="51"/>
      <c r="D271" s="51"/>
      <c r="E271" s="51"/>
      <c r="F271" s="48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</row>
    <row r="272" spans="1:78" ht="15.75" x14ac:dyDescent="0.25">
      <c r="A272" s="20"/>
      <c r="B272" s="47"/>
      <c r="C272" s="51"/>
      <c r="D272" s="51"/>
      <c r="E272" s="51"/>
      <c r="F272" s="48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</row>
    <row r="273" spans="1:78" ht="15.75" x14ac:dyDescent="0.25">
      <c r="A273" s="20"/>
      <c r="B273" s="47"/>
      <c r="C273" s="51"/>
      <c r="D273" s="51"/>
      <c r="E273" s="51"/>
      <c r="F273" s="48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</row>
    <row r="274" spans="1:78" ht="15.75" x14ac:dyDescent="0.25">
      <c r="A274" s="20"/>
      <c r="B274" s="47"/>
      <c r="C274" s="51"/>
      <c r="D274" s="51"/>
      <c r="E274" s="51"/>
      <c r="F274" s="48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</row>
    <row r="275" spans="1:78" ht="15.75" x14ac:dyDescent="0.25">
      <c r="A275" s="20"/>
      <c r="B275" s="47"/>
      <c r="C275" s="51"/>
      <c r="D275" s="51"/>
      <c r="E275" s="51"/>
      <c r="F275" s="48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</row>
    <row r="276" spans="1:78" ht="15.75" x14ac:dyDescent="0.25">
      <c r="A276" s="20"/>
      <c r="B276" s="47"/>
      <c r="C276" s="51"/>
      <c r="D276" s="51"/>
      <c r="E276" s="51"/>
      <c r="F276" s="48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</row>
    <row r="277" spans="1:78" ht="15.75" x14ac:dyDescent="0.25">
      <c r="A277" s="20"/>
      <c r="B277" s="47"/>
      <c r="C277" s="51"/>
      <c r="D277" s="51"/>
      <c r="E277" s="51"/>
      <c r="F277" s="48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</row>
    <row r="278" spans="1:78" ht="15.75" x14ac:dyDescent="0.25">
      <c r="A278" s="20"/>
      <c r="B278" s="47"/>
      <c r="C278" s="51"/>
      <c r="D278" s="51"/>
      <c r="E278" s="51"/>
      <c r="F278" s="48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</row>
    <row r="279" spans="1:78" ht="15.75" x14ac:dyDescent="0.25">
      <c r="A279" s="20"/>
      <c r="B279" s="47"/>
      <c r="C279" s="51"/>
      <c r="D279" s="51"/>
      <c r="E279" s="51"/>
      <c r="F279" s="48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</row>
    <row r="280" spans="1:78" ht="15.75" x14ac:dyDescent="0.25">
      <c r="A280" s="20"/>
      <c r="B280" s="47"/>
      <c r="C280" s="51"/>
      <c r="D280" s="51"/>
      <c r="E280" s="51"/>
      <c r="F280" s="48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</row>
    <row r="281" spans="1:78" ht="15.75" x14ac:dyDescent="0.25">
      <c r="A281" s="20"/>
      <c r="B281" s="47"/>
      <c r="C281" s="51"/>
      <c r="D281" s="51"/>
      <c r="E281" s="51"/>
      <c r="F281" s="48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</row>
    <row r="282" spans="1:78" ht="15.75" x14ac:dyDescent="0.25">
      <c r="A282" s="20"/>
      <c r="B282" s="47"/>
      <c r="C282" s="51"/>
      <c r="D282" s="51"/>
      <c r="E282" s="51"/>
      <c r="F282" s="48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</row>
    <row r="283" spans="1:78" ht="15.75" x14ac:dyDescent="0.25">
      <c r="A283" s="20"/>
      <c r="B283" s="47"/>
      <c r="C283" s="51"/>
      <c r="D283" s="51"/>
      <c r="E283" s="51"/>
      <c r="F283" s="48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</row>
    <row r="284" spans="1:78" ht="15.75" x14ac:dyDescent="0.25">
      <c r="A284" s="20"/>
      <c r="B284" s="47"/>
      <c r="C284" s="51"/>
      <c r="D284" s="51"/>
      <c r="E284" s="51"/>
      <c r="F284" s="48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</row>
    <row r="285" spans="1:78" ht="15.75" x14ac:dyDescent="0.25">
      <c r="A285" s="20"/>
      <c r="B285" s="47"/>
      <c r="C285" s="51"/>
      <c r="D285" s="51"/>
      <c r="E285" s="51"/>
      <c r="F285" s="48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  <c r="BZ285" s="48"/>
    </row>
    <row r="286" spans="1:78" ht="15.75" x14ac:dyDescent="0.25">
      <c r="A286" s="20"/>
      <c r="B286" s="47"/>
      <c r="C286" s="51"/>
      <c r="D286" s="51"/>
      <c r="E286" s="51"/>
      <c r="F286" s="48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</row>
    <row r="287" spans="1:78" ht="15.75" x14ac:dyDescent="0.25">
      <c r="A287" s="20"/>
      <c r="B287" s="47"/>
      <c r="C287" s="51"/>
      <c r="D287" s="51"/>
      <c r="E287" s="51"/>
      <c r="F287" s="48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  <c r="BZ287" s="48"/>
    </row>
    <row r="288" spans="1:78" ht="15.75" x14ac:dyDescent="0.25">
      <c r="A288" s="20"/>
      <c r="B288" s="47"/>
      <c r="C288" s="51"/>
      <c r="D288" s="51"/>
      <c r="E288" s="51"/>
      <c r="F288" s="48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</row>
    <row r="289" spans="1:78" ht="15.75" x14ac:dyDescent="0.25">
      <c r="A289" s="20"/>
      <c r="B289" s="47"/>
      <c r="C289" s="51"/>
      <c r="D289" s="51"/>
      <c r="E289" s="51"/>
      <c r="F289" s="48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</row>
    <row r="290" spans="1:78" ht="15.75" x14ac:dyDescent="0.25">
      <c r="A290" s="20"/>
      <c r="B290" s="47"/>
      <c r="C290" s="51"/>
      <c r="D290" s="51"/>
      <c r="E290" s="51"/>
      <c r="F290" s="48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</row>
    <row r="291" spans="1:78" ht="15.75" x14ac:dyDescent="0.25">
      <c r="A291" s="20"/>
      <c r="B291" s="47"/>
      <c r="C291" s="51"/>
      <c r="D291" s="51"/>
      <c r="E291" s="51"/>
      <c r="F291" s="48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</row>
    <row r="292" spans="1:78" ht="15.75" x14ac:dyDescent="0.25">
      <c r="A292" s="20"/>
      <c r="B292" s="47"/>
      <c r="C292" s="51"/>
      <c r="D292" s="51"/>
      <c r="E292" s="51"/>
      <c r="F292" s="48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</row>
    <row r="293" spans="1:78" ht="15.75" x14ac:dyDescent="0.25">
      <c r="A293" s="20"/>
      <c r="B293" s="47"/>
      <c r="C293" s="51"/>
      <c r="D293" s="51"/>
      <c r="E293" s="51"/>
      <c r="F293" s="48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</row>
    <row r="294" spans="1:78" ht="15.75" x14ac:dyDescent="0.25">
      <c r="A294" s="20"/>
      <c r="B294" s="47"/>
      <c r="C294" s="51"/>
      <c r="D294" s="51"/>
      <c r="E294" s="51"/>
      <c r="F294" s="48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</row>
    <row r="295" spans="1:78" ht="15.75" x14ac:dyDescent="0.25">
      <c r="A295" s="20"/>
      <c r="B295" s="47"/>
      <c r="C295" s="51"/>
      <c r="D295" s="51"/>
      <c r="E295" s="51"/>
      <c r="F295" s="48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</row>
    <row r="296" spans="1:78" ht="15.75" x14ac:dyDescent="0.25">
      <c r="A296" s="20"/>
      <c r="B296" s="47"/>
      <c r="C296" s="51"/>
      <c r="D296" s="51"/>
      <c r="E296" s="51"/>
      <c r="F296" s="48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</row>
    <row r="297" spans="1:78" ht="15.75" x14ac:dyDescent="0.25">
      <c r="A297" s="20"/>
      <c r="B297" s="47"/>
      <c r="C297" s="51"/>
      <c r="D297" s="51"/>
      <c r="E297" s="51"/>
      <c r="F297" s="48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</row>
    <row r="298" spans="1:78" ht="15.75" x14ac:dyDescent="0.25">
      <c r="A298" s="20"/>
      <c r="B298" s="47"/>
      <c r="C298" s="51"/>
      <c r="D298" s="51"/>
      <c r="E298" s="51"/>
      <c r="F298" s="48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</row>
    <row r="299" spans="1:78" ht="15.75" x14ac:dyDescent="0.25">
      <c r="A299" s="20"/>
      <c r="B299" s="47"/>
      <c r="C299" s="51"/>
      <c r="D299" s="51"/>
      <c r="E299" s="51"/>
      <c r="F299" s="48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</row>
    <row r="300" spans="1:78" ht="15.75" x14ac:dyDescent="0.25">
      <c r="A300" s="20"/>
      <c r="B300" s="47"/>
      <c r="C300" s="51"/>
      <c r="D300" s="51"/>
      <c r="E300" s="51"/>
      <c r="F300" s="48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</row>
    <row r="301" spans="1:78" ht="15.75" x14ac:dyDescent="0.25">
      <c r="A301" s="20"/>
      <c r="B301" s="47"/>
      <c r="C301" s="51"/>
      <c r="D301" s="51"/>
      <c r="E301" s="51"/>
      <c r="F301" s="48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</row>
    <row r="302" spans="1:78" ht="15.75" x14ac:dyDescent="0.25">
      <c r="A302" s="20"/>
      <c r="B302" s="47"/>
      <c r="C302" s="51"/>
      <c r="D302" s="51"/>
      <c r="E302" s="51"/>
      <c r="F302" s="48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</row>
    <row r="303" spans="1:78" ht="15.75" x14ac:dyDescent="0.25">
      <c r="A303" s="20"/>
      <c r="B303" s="47"/>
      <c r="C303" s="51"/>
      <c r="D303" s="51"/>
      <c r="E303" s="51"/>
      <c r="F303" s="48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</row>
    <row r="304" spans="1:78" ht="15.75" x14ac:dyDescent="0.25">
      <c r="A304" s="20"/>
      <c r="B304" s="47"/>
      <c r="C304" s="51"/>
      <c r="D304" s="51"/>
      <c r="E304" s="51"/>
      <c r="F304" s="48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</row>
    <row r="305" spans="1:78" ht="15.75" x14ac:dyDescent="0.25">
      <c r="A305" s="20"/>
      <c r="B305" s="47"/>
      <c r="C305" s="51"/>
      <c r="D305" s="51"/>
      <c r="E305" s="51"/>
      <c r="F305" s="48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</row>
    <row r="306" spans="1:78" ht="15.75" x14ac:dyDescent="0.25">
      <c r="A306" s="20"/>
      <c r="B306" s="47"/>
      <c r="C306" s="51"/>
      <c r="D306" s="51"/>
      <c r="E306" s="51"/>
      <c r="F306" s="48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  <c r="BZ306" s="48"/>
    </row>
    <row r="307" spans="1:78" ht="15.75" x14ac:dyDescent="0.25">
      <c r="A307" s="20"/>
      <c r="B307" s="47"/>
      <c r="C307" s="51"/>
      <c r="D307" s="51"/>
      <c r="E307" s="51"/>
      <c r="F307" s="48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</row>
    <row r="308" spans="1:78" ht="15.75" x14ac:dyDescent="0.25">
      <c r="A308" s="20"/>
      <c r="B308" s="47"/>
      <c r="C308" s="51"/>
      <c r="D308" s="51"/>
      <c r="E308" s="51"/>
      <c r="F308" s="48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</row>
    <row r="309" spans="1:78" ht="15.75" x14ac:dyDescent="0.25">
      <c r="A309" s="20"/>
      <c r="B309" s="47"/>
      <c r="C309" s="51"/>
      <c r="D309" s="51"/>
      <c r="E309" s="51"/>
      <c r="F309" s="48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  <c r="BZ309" s="48"/>
    </row>
    <row r="310" spans="1:78" ht="15.75" x14ac:dyDescent="0.25">
      <c r="A310" s="20"/>
      <c r="B310" s="47"/>
      <c r="C310" s="51"/>
      <c r="D310" s="51"/>
      <c r="E310" s="51"/>
      <c r="F310" s="48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</row>
    <row r="311" spans="1:78" ht="15.75" x14ac:dyDescent="0.25">
      <c r="A311" s="20"/>
      <c r="B311" s="47"/>
      <c r="C311" s="51"/>
      <c r="D311" s="51"/>
      <c r="E311" s="51"/>
      <c r="F311" s="48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</row>
    <row r="312" spans="1:78" ht="15.75" x14ac:dyDescent="0.25">
      <c r="A312" s="20"/>
      <c r="B312" s="47"/>
      <c r="C312" s="51"/>
      <c r="D312" s="51"/>
      <c r="E312" s="51"/>
      <c r="F312" s="48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</row>
    <row r="313" spans="1:78" ht="15.75" x14ac:dyDescent="0.25">
      <c r="A313" s="20"/>
      <c r="B313" s="47"/>
      <c r="C313" s="51"/>
      <c r="D313" s="51"/>
      <c r="E313" s="51"/>
      <c r="F313" s="48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</row>
    <row r="314" spans="1:78" ht="15.75" x14ac:dyDescent="0.25">
      <c r="A314" s="20"/>
      <c r="B314" s="47"/>
      <c r="C314" s="51"/>
      <c r="D314" s="51"/>
      <c r="E314" s="51"/>
      <c r="F314" s="48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</row>
    <row r="315" spans="1:78" ht="15.75" x14ac:dyDescent="0.25">
      <c r="A315" s="20"/>
      <c r="B315" s="47"/>
      <c r="C315" s="51"/>
      <c r="D315" s="51"/>
      <c r="E315" s="51"/>
      <c r="F315" s="48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</row>
    <row r="316" spans="1:78" ht="15.75" x14ac:dyDescent="0.25">
      <c r="A316" s="20"/>
      <c r="B316" s="47"/>
      <c r="C316" s="51"/>
      <c r="D316" s="51"/>
      <c r="E316" s="51"/>
      <c r="F316" s="48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</row>
    <row r="317" spans="1:78" ht="15.75" x14ac:dyDescent="0.25">
      <c r="A317" s="20"/>
      <c r="B317" s="47"/>
      <c r="C317" s="51"/>
      <c r="D317" s="51"/>
      <c r="E317" s="51"/>
      <c r="F317" s="48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</row>
    <row r="318" spans="1:78" ht="15.75" x14ac:dyDescent="0.25">
      <c r="A318" s="20"/>
      <c r="B318" s="47"/>
      <c r="C318" s="51"/>
      <c r="D318" s="51"/>
      <c r="E318" s="51"/>
      <c r="F318" s="48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</row>
    <row r="319" spans="1:78" ht="15.75" x14ac:dyDescent="0.25">
      <c r="A319" s="20"/>
      <c r="B319" s="47"/>
      <c r="C319" s="51"/>
      <c r="D319" s="51"/>
      <c r="E319" s="51"/>
      <c r="F319" s="48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</row>
    <row r="320" spans="1:78" ht="15.75" x14ac:dyDescent="0.25">
      <c r="A320" s="20"/>
      <c r="B320" s="47"/>
      <c r="C320" s="51"/>
      <c r="D320" s="51"/>
      <c r="E320" s="51"/>
      <c r="F320" s="48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</row>
    <row r="321" spans="1:78" ht="15.75" x14ac:dyDescent="0.25">
      <c r="A321" s="20"/>
      <c r="B321" s="47"/>
      <c r="C321" s="51"/>
      <c r="D321" s="51"/>
      <c r="E321" s="51"/>
      <c r="F321" s="48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</row>
    <row r="322" spans="1:78" ht="15.75" x14ac:dyDescent="0.25">
      <c r="A322" s="20"/>
      <c r="B322" s="47"/>
      <c r="C322" s="51"/>
      <c r="D322" s="51"/>
      <c r="E322" s="51"/>
      <c r="F322" s="48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</row>
    <row r="323" spans="1:78" ht="15.75" x14ac:dyDescent="0.25">
      <c r="A323" s="20"/>
      <c r="B323" s="47"/>
      <c r="C323" s="51"/>
      <c r="D323" s="51"/>
      <c r="E323" s="51"/>
      <c r="F323" s="48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</row>
    <row r="324" spans="1:78" ht="15.75" x14ac:dyDescent="0.25">
      <c r="A324" s="20"/>
      <c r="B324" s="47"/>
      <c r="C324" s="51"/>
      <c r="D324" s="51"/>
      <c r="E324" s="51"/>
      <c r="F324" s="48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</row>
    <row r="325" spans="1:78" ht="15.75" x14ac:dyDescent="0.25">
      <c r="A325" s="20"/>
      <c r="B325" s="47"/>
      <c r="C325" s="51"/>
      <c r="D325" s="51"/>
      <c r="E325" s="51"/>
      <c r="F325" s="48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</row>
    <row r="326" spans="1:78" ht="15.75" x14ac:dyDescent="0.25">
      <c r="A326" s="20"/>
      <c r="B326" s="47"/>
      <c r="C326" s="51"/>
      <c r="D326" s="51"/>
      <c r="E326" s="51"/>
      <c r="F326" s="48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  <c r="BZ326" s="48"/>
    </row>
    <row r="327" spans="1:78" ht="15.75" x14ac:dyDescent="0.25">
      <c r="A327" s="20"/>
      <c r="B327" s="47"/>
      <c r="C327" s="51"/>
      <c r="D327" s="51"/>
      <c r="E327" s="51"/>
      <c r="F327" s="48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  <c r="BZ327" s="48"/>
    </row>
    <row r="328" spans="1:78" ht="15.75" x14ac:dyDescent="0.25">
      <c r="A328" s="20"/>
      <c r="B328" s="47"/>
      <c r="C328" s="51"/>
      <c r="D328" s="51"/>
      <c r="E328" s="51"/>
      <c r="F328" s="48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</row>
    <row r="329" spans="1:78" ht="15.75" x14ac:dyDescent="0.25">
      <c r="A329" s="20"/>
      <c r="B329" s="47"/>
      <c r="C329" s="51"/>
      <c r="D329" s="51"/>
      <c r="E329" s="51"/>
      <c r="F329" s="48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</row>
    <row r="330" spans="1:78" ht="15.75" x14ac:dyDescent="0.25">
      <c r="A330" s="20"/>
      <c r="B330" s="47"/>
      <c r="C330" s="51"/>
      <c r="D330" s="51"/>
      <c r="E330" s="51"/>
      <c r="F330" s="48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</row>
    <row r="331" spans="1:78" ht="15.75" x14ac:dyDescent="0.25">
      <c r="A331" s="20"/>
      <c r="B331" s="47"/>
      <c r="C331" s="51"/>
      <c r="D331" s="51"/>
      <c r="E331" s="51"/>
      <c r="F331" s="48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</row>
    <row r="332" spans="1:78" ht="15.75" x14ac:dyDescent="0.25">
      <c r="A332" s="20"/>
      <c r="B332" s="47"/>
      <c r="C332" s="51"/>
      <c r="D332" s="51"/>
      <c r="E332" s="51"/>
      <c r="F332" s="48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</row>
    <row r="333" spans="1:78" ht="15.75" x14ac:dyDescent="0.25">
      <c r="A333" s="20"/>
      <c r="B333" s="47"/>
      <c r="C333" s="51"/>
      <c r="D333" s="51"/>
      <c r="E333" s="51"/>
      <c r="F333" s="48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</row>
    <row r="334" spans="1:78" ht="15.75" x14ac:dyDescent="0.25">
      <c r="A334" s="20"/>
      <c r="B334" s="47"/>
      <c r="C334" s="51"/>
      <c r="D334" s="51"/>
      <c r="E334" s="51"/>
      <c r="F334" s="48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</row>
    <row r="335" spans="1:78" ht="15.75" x14ac:dyDescent="0.25">
      <c r="A335" s="20"/>
      <c r="B335" s="47"/>
      <c r="C335" s="51"/>
      <c r="D335" s="51"/>
      <c r="E335" s="51"/>
      <c r="F335" s="48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</row>
    <row r="336" spans="1:78" ht="15.75" x14ac:dyDescent="0.25">
      <c r="A336" s="20"/>
      <c r="B336" s="47"/>
      <c r="C336" s="51"/>
      <c r="D336" s="51"/>
      <c r="E336" s="51"/>
      <c r="F336" s="48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</row>
    <row r="337" spans="1:78" ht="15.75" x14ac:dyDescent="0.25">
      <c r="A337" s="20"/>
      <c r="B337" s="47"/>
      <c r="C337" s="51"/>
      <c r="D337" s="51"/>
      <c r="E337" s="51"/>
      <c r="F337" s="48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</row>
    <row r="338" spans="1:78" ht="15.75" x14ac:dyDescent="0.25">
      <c r="A338" s="20"/>
      <c r="B338" s="47"/>
      <c r="C338" s="51"/>
      <c r="D338" s="51"/>
      <c r="E338" s="51"/>
      <c r="F338" s="48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  <c r="BZ338" s="48"/>
    </row>
    <row r="339" spans="1:78" ht="15.75" x14ac:dyDescent="0.25">
      <c r="A339" s="20"/>
      <c r="B339" s="47"/>
      <c r="C339" s="51"/>
      <c r="D339" s="51"/>
      <c r="E339" s="51"/>
      <c r="F339" s="48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</row>
    <row r="340" spans="1:78" ht="15.75" x14ac:dyDescent="0.25">
      <c r="A340" s="20"/>
      <c r="B340" s="47"/>
      <c r="C340" s="51"/>
      <c r="D340" s="51"/>
      <c r="E340" s="51"/>
      <c r="F340" s="48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</row>
    <row r="341" spans="1:78" ht="15.75" x14ac:dyDescent="0.25">
      <c r="A341" s="20"/>
      <c r="B341" s="47"/>
      <c r="C341" s="51"/>
      <c r="D341" s="51"/>
      <c r="E341" s="51"/>
      <c r="F341" s="48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</row>
    <row r="342" spans="1:78" ht="15.75" x14ac:dyDescent="0.25">
      <c r="A342" s="20"/>
      <c r="B342" s="47"/>
      <c r="C342" s="51"/>
      <c r="D342" s="51"/>
      <c r="E342" s="51"/>
      <c r="F342" s="48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48"/>
    </row>
    <row r="343" spans="1:78" ht="15.75" x14ac:dyDescent="0.25">
      <c r="A343" s="20"/>
      <c r="B343" s="47"/>
      <c r="C343" s="51"/>
      <c r="D343" s="51"/>
      <c r="E343" s="51"/>
      <c r="F343" s="48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</row>
    <row r="344" spans="1:78" ht="15.75" x14ac:dyDescent="0.25">
      <c r="A344" s="20"/>
      <c r="B344" s="47"/>
      <c r="C344" s="51"/>
      <c r="D344" s="51"/>
      <c r="E344" s="51"/>
      <c r="F344" s="48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</row>
    <row r="345" spans="1:78" ht="15.75" x14ac:dyDescent="0.25">
      <c r="A345" s="20"/>
      <c r="B345" s="47"/>
      <c r="C345" s="51"/>
      <c r="D345" s="51"/>
      <c r="E345" s="51"/>
      <c r="F345" s="48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  <c r="BZ345" s="48"/>
    </row>
    <row r="346" spans="1:78" ht="15.75" x14ac:dyDescent="0.25">
      <c r="A346" s="20"/>
      <c r="B346" s="47"/>
      <c r="C346" s="51"/>
      <c r="D346" s="51"/>
      <c r="E346" s="51"/>
      <c r="F346" s="48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</row>
    <row r="347" spans="1:78" ht="15.75" x14ac:dyDescent="0.25">
      <c r="A347" s="20"/>
      <c r="B347" s="47"/>
      <c r="C347" s="51"/>
      <c r="D347" s="51"/>
      <c r="E347" s="51"/>
      <c r="F347" s="48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  <c r="BZ347" s="48"/>
    </row>
    <row r="348" spans="1:78" ht="15.75" x14ac:dyDescent="0.25">
      <c r="A348" s="20"/>
      <c r="B348" s="47"/>
      <c r="C348" s="51"/>
      <c r="D348" s="51"/>
      <c r="E348" s="51"/>
      <c r="F348" s="48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</row>
    <row r="349" spans="1:78" ht="15.75" x14ac:dyDescent="0.25">
      <c r="A349" s="20"/>
      <c r="B349" s="47"/>
      <c r="C349" s="51"/>
      <c r="D349" s="51"/>
      <c r="E349" s="51"/>
      <c r="F349" s="48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</row>
    <row r="350" spans="1:78" ht="15.75" x14ac:dyDescent="0.25">
      <c r="A350" s="20"/>
      <c r="B350" s="47"/>
      <c r="C350" s="51"/>
      <c r="D350" s="51"/>
      <c r="E350" s="51"/>
      <c r="F350" s="48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</row>
    <row r="351" spans="1:78" ht="15.75" x14ac:dyDescent="0.25">
      <c r="A351" s="20"/>
      <c r="B351" s="47"/>
      <c r="C351" s="51"/>
      <c r="D351" s="51"/>
      <c r="E351" s="51"/>
      <c r="F351" s="48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  <c r="BZ351" s="48"/>
    </row>
    <row r="352" spans="1:78" ht="15.75" x14ac:dyDescent="0.25">
      <c r="A352" s="20"/>
      <c r="B352" s="47"/>
      <c r="C352" s="51"/>
      <c r="D352" s="51"/>
      <c r="E352" s="51"/>
      <c r="F352" s="48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</row>
    <row r="353" spans="1:78" ht="15.75" x14ac:dyDescent="0.25">
      <c r="A353" s="20"/>
      <c r="B353" s="47"/>
      <c r="C353" s="51"/>
      <c r="D353" s="51"/>
      <c r="E353" s="51"/>
      <c r="F353" s="48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</row>
    <row r="354" spans="1:78" ht="15.75" x14ac:dyDescent="0.25">
      <c r="A354" s="20"/>
      <c r="B354" s="47"/>
      <c r="C354" s="51"/>
      <c r="D354" s="51"/>
      <c r="E354" s="51"/>
      <c r="F354" s="48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  <c r="BZ354" s="48"/>
    </row>
    <row r="355" spans="1:78" ht="15.75" x14ac:dyDescent="0.25">
      <c r="A355" s="20"/>
      <c r="B355" s="47"/>
      <c r="C355" s="51"/>
      <c r="D355" s="51"/>
      <c r="E355" s="51"/>
      <c r="F355" s="48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</row>
    <row r="356" spans="1:78" ht="15.75" x14ac:dyDescent="0.25">
      <c r="A356" s="20"/>
      <c r="B356" s="47"/>
      <c r="C356" s="51"/>
      <c r="D356" s="51"/>
      <c r="E356" s="51"/>
      <c r="F356" s="48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</row>
    <row r="357" spans="1:78" ht="15.75" x14ac:dyDescent="0.25">
      <c r="A357" s="20"/>
      <c r="B357" s="47"/>
      <c r="C357" s="51"/>
      <c r="D357" s="51"/>
      <c r="E357" s="51"/>
      <c r="F357" s="48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</row>
    <row r="358" spans="1:78" ht="15.75" x14ac:dyDescent="0.25">
      <c r="A358" s="20"/>
      <c r="B358" s="47"/>
      <c r="C358" s="51"/>
      <c r="D358" s="51"/>
      <c r="E358" s="51"/>
      <c r="F358" s="48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</row>
    <row r="359" spans="1:78" ht="15.75" x14ac:dyDescent="0.25">
      <c r="A359" s="20"/>
      <c r="B359" s="47"/>
      <c r="C359" s="51"/>
      <c r="D359" s="51"/>
      <c r="E359" s="51"/>
      <c r="F359" s="48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</row>
    <row r="360" spans="1:78" ht="15.75" x14ac:dyDescent="0.25">
      <c r="A360" s="20"/>
      <c r="B360" s="47"/>
      <c r="C360" s="51"/>
      <c r="D360" s="51"/>
      <c r="E360" s="51"/>
      <c r="F360" s="48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</row>
    <row r="361" spans="1:78" ht="15.75" x14ac:dyDescent="0.25">
      <c r="A361" s="20"/>
      <c r="B361" s="47"/>
      <c r="C361" s="51"/>
      <c r="D361" s="51"/>
      <c r="E361" s="51"/>
      <c r="F361" s="48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</row>
    <row r="362" spans="1:78" ht="15.75" x14ac:dyDescent="0.25">
      <c r="A362" s="20"/>
      <c r="B362" s="47"/>
      <c r="C362" s="51"/>
      <c r="D362" s="51"/>
      <c r="E362" s="51"/>
      <c r="F362" s="48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</row>
    <row r="363" spans="1:78" ht="15.75" x14ac:dyDescent="0.25">
      <c r="A363" s="20"/>
      <c r="B363" s="47"/>
      <c r="C363" s="51"/>
      <c r="D363" s="51"/>
      <c r="E363" s="51"/>
      <c r="F363" s="48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</row>
    <row r="364" spans="1:78" ht="15.75" x14ac:dyDescent="0.25">
      <c r="A364" s="20"/>
      <c r="B364" s="47"/>
      <c r="C364" s="51"/>
      <c r="D364" s="51"/>
      <c r="E364" s="51"/>
      <c r="F364" s="48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</row>
    <row r="365" spans="1:78" ht="15.75" x14ac:dyDescent="0.25">
      <c r="A365" s="20"/>
      <c r="B365" s="47"/>
      <c r="C365" s="51"/>
      <c r="D365" s="51"/>
      <c r="E365" s="51"/>
      <c r="F365" s="48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</row>
    <row r="366" spans="1:78" ht="15.75" x14ac:dyDescent="0.25">
      <c r="A366" s="20"/>
      <c r="B366" s="47"/>
      <c r="C366" s="51"/>
      <c r="D366" s="51"/>
      <c r="E366" s="51"/>
      <c r="F366" s="48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</row>
    <row r="367" spans="1:78" ht="15.75" x14ac:dyDescent="0.25">
      <c r="A367" s="20"/>
      <c r="B367" s="47"/>
      <c r="C367" s="51"/>
      <c r="D367" s="51"/>
      <c r="E367" s="51"/>
      <c r="F367" s="48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</row>
    <row r="368" spans="1:78" ht="15.75" x14ac:dyDescent="0.25">
      <c r="A368" s="20"/>
      <c r="B368" s="47"/>
      <c r="C368" s="51"/>
      <c r="D368" s="51"/>
      <c r="E368" s="51"/>
      <c r="F368" s="48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</row>
    <row r="369" spans="1:78" ht="15.75" x14ac:dyDescent="0.25">
      <c r="A369" s="20"/>
      <c r="B369" s="47"/>
      <c r="C369" s="51"/>
      <c r="D369" s="51"/>
      <c r="E369" s="51"/>
      <c r="F369" s="48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</row>
    <row r="370" spans="1:78" ht="15.75" x14ac:dyDescent="0.25">
      <c r="A370" s="20"/>
      <c r="B370" s="47"/>
      <c r="C370" s="51"/>
      <c r="D370" s="51"/>
      <c r="E370" s="51"/>
      <c r="F370" s="48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</row>
    <row r="371" spans="1:78" ht="15.75" x14ac:dyDescent="0.25">
      <c r="A371" s="20"/>
      <c r="B371" s="47"/>
      <c r="C371" s="51"/>
      <c r="D371" s="51"/>
      <c r="E371" s="51"/>
      <c r="F371" s="48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</row>
    <row r="372" spans="1:78" ht="15.75" x14ac:dyDescent="0.25">
      <c r="A372" s="20"/>
      <c r="B372" s="47"/>
      <c r="C372" s="51"/>
      <c r="D372" s="51"/>
      <c r="E372" s="51"/>
      <c r="F372" s="48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</row>
    <row r="373" spans="1:78" ht="15.75" x14ac:dyDescent="0.25">
      <c r="A373" s="20"/>
      <c r="B373" s="47"/>
      <c r="C373" s="51"/>
      <c r="D373" s="51"/>
      <c r="E373" s="51"/>
      <c r="F373" s="48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</row>
    <row r="374" spans="1:78" ht="15.75" x14ac:dyDescent="0.25">
      <c r="A374" s="20"/>
      <c r="B374" s="47"/>
      <c r="C374" s="51"/>
      <c r="D374" s="51"/>
      <c r="E374" s="51"/>
      <c r="F374" s="48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</row>
    <row r="375" spans="1:78" ht="15.75" x14ac:dyDescent="0.25">
      <c r="A375" s="20"/>
      <c r="B375" s="47"/>
      <c r="C375" s="51"/>
      <c r="D375" s="51"/>
      <c r="E375" s="51"/>
      <c r="F375" s="48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</row>
    <row r="376" spans="1:78" ht="15.75" x14ac:dyDescent="0.25">
      <c r="A376" s="20"/>
      <c r="B376" s="47"/>
      <c r="C376" s="51"/>
      <c r="D376" s="51"/>
      <c r="E376" s="51"/>
      <c r="F376" s="48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</row>
    <row r="377" spans="1:78" ht="15.75" x14ac:dyDescent="0.25">
      <c r="A377" s="20"/>
      <c r="B377" s="47"/>
      <c r="C377" s="51"/>
      <c r="D377" s="51"/>
      <c r="E377" s="51"/>
      <c r="F377" s="48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</row>
    <row r="378" spans="1:78" ht="15.75" x14ac:dyDescent="0.25">
      <c r="A378" s="20"/>
      <c r="B378" s="47"/>
      <c r="C378" s="51"/>
      <c r="D378" s="51"/>
      <c r="E378" s="51"/>
      <c r="F378" s="48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</row>
    <row r="379" spans="1:78" ht="15.75" x14ac:dyDescent="0.25">
      <c r="A379" s="20"/>
      <c r="B379" s="47"/>
      <c r="C379" s="51"/>
      <c r="D379" s="51"/>
      <c r="E379" s="51"/>
      <c r="F379" s="48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</row>
    <row r="380" spans="1:78" ht="15.75" x14ac:dyDescent="0.25">
      <c r="A380" s="20"/>
      <c r="B380" s="47"/>
      <c r="C380" s="51"/>
      <c r="D380" s="51"/>
      <c r="E380" s="51"/>
      <c r="F380" s="48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</row>
    <row r="381" spans="1:78" ht="15.75" x14ac:dyDescent="0.25">
      <c r="A381" s="20"/>
      <c r="B381" s="47"/>
      <c r="C381" s="51"/>
      <c r="D381" s="51"/>
      <c r="E381" s="51"/>
      <c r="F381" s="48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</row>
    <row r="382" spans="1:78" ht="15.75" x14ac:dyDescent="0.25">
      <c r="A382" s="20"/>
      <c r="B382" s="47"/>
      <c r="C382" s="51"/>
      <c r="D382" s="51"/>
      <c r="E382" s="51"/>
      <c r="F382" s="48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</row>
    <row r="383" spans="1:78" ht="15.75" x14ac:dyDescent="0.25">
      <c r="A383" s="20"/>
      <c r="B383" s="47"/>
      <c r="C383" s="51"/>
      <c r="D383" s="51"/>
      <c r="E383" s="51"/>
      <c r="F383" s="48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  <c r="BZ383" s="48"/>
    </row>
    <row r="384" spans="1:78" ht="15.75" x14ac:dyDescent="0.25">
      <c r="A384" s="20"/>
      <c r="B384" s="47"/>
      <c r="C384" s="51"/>
      <c r="D384" s="51"/>
      <c r="E384" s="51"/>
      <c r="F384" s="48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  <c r="BZ384" s="48"/>
    </row>
    <row r="385" spans="1:78" ht="15.75" x14ac:dyDescent="0.25">
      <c r="A385" s="20"/>
      <c r="B385" s="47"/>
      <c r="C385" s="51"/>
      <c r="D385" s="51"/>
      <c r="E385" s="51"/>
      <c r="F385" s="48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</row>
    <row r="386" spans="1:78" ht="15.75" x14ac:dyDescent="0.25">
      <c r="A386" s="20"/>
      <c r="B386" s="47"/>
      <c r="C386" s="51"/>
      <c r="D386" s="51"/>
      <c r="E386" s="51"/>
      <c r="F386" s="48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  <c r="BZ386" s="48"/>
    </row>
    <row r="387" spans="1:78" ht="15.75" x14ac:dyDescent="0.25">
      <c r="A387" s="20"/>
      <c r="B387" s="47"/>
      <c r="C387" s="51"/>
      <c r="D387" s="51"/>
      <c r="E387" s="51"/>
      <c r="F387" s="48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  <c r="BZ387" s="48"/>
    </row>
    <row r="388" spans="1:78" ht="15.75" x14ac:dyDescent="0.25">
      <c r="A388" s="20"/>
      <c r="B388" s="47"/>
      <c r="C388" s="51"/>
      <c r="D388" s="51"/>
      <c r="E388" s="51"/>
      <c r="F388" s="48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</row>
    <row r="389" spans="1:78" ht="15.75" x14ac:dyDescent="0.25">
      <c r="A389" s="20"/>
      <c r="B389" s="47"/>
      <c r="C389" s="51"/>
      <c r="D389" s="51"/>
      <c r="E389" s="51"/>
      <c r="F389" s="48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</row>
    <row r="390" spans="1:78" ht="15.75" x14ac:dyDescent="0.25">
      <c r="A390" s="20"/>
      <c r="B390" s="47"/>
      <c r="C390" s="51"/>
      <c r="D390" s="51"/>
      <c r="E390" s="51"/>
      <c r="F390" s="48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  <c r="BZ390" s="48"/>
    </row>
    <row r="391" spans="1:78" ht="15.75" x14ac:dyDescent="0.25">
      <c r="A391" s="20"/>
      <c r="B391" s="47"/>
      <c r="C391" s="51"/>
      <c r="D391" s="51"/>
      <c r="E391" s="51"/>
      <c r="F391" s="48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</row>
    <row r="392" spans="1:78" ht="15.75" x14ac:dyDescent="0.25">
      <c r="A392" s="20"/>
      <c r="B392" s="47"/>
      <c r="C392" s="51"/>
      <c r="D392" s="51"/>
      <c r="E392" s="51"/>
      <c r="F392" s="48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</row>
    <row r="393" spans="1:78" ht="15.75" x14ac:dyDescent="0.25">
      <c r="A393" s="20"/>
      <c r="B393" s="47"/>
      <c r="C393" s="51"/>
      <c r="D393" s="51"/>
      <c r="E393" s="51"/>
      <c r="F393" s="48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  <c r="BZ393" s="48"/>
    </row>
    <row r="394" spans="1:78" ht="15.75" x14ac:dyDescent="0.25">
      <c r="A394" s="20"/>
      <c r="B394" s="47"/>
      <c r="C394" s="51"/>
      <c r="D394" s="51"/>
      <c r="E394" s="51"/>
      <c r="F394" s="48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</row>
    <row r="395" spans="1:78" ht="15.75" x14ac:dyDescent="0.25">
      <c r="A395" s="20"/>
      <c r="B395" s="47"/>
      <c r="C395" s="51"/>
      <c r="D395" s="51"/>
      <c r="E395" s="51"/>
      <c r="F395" s="48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</row>
    <row r="396" spans="1:78" ht="15.75" x14ac:dyDescent="0.25">
      <c r="A396" s="20"/>
      <c r="B396" s="47"/>
      <c r="C396" s="51"/>
      <c r="D396" s="51"/>
      <c r="E396" s="51"/>
      <c r="F396" s="48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</row>
    <row r="397" spans="1:78" ht="15.75" x14ac:dyDescent="0.25">
      <c r="A397" s="20"/>
      <c r="B397" s="47"/>
      <c r="C397" s="51"/>
      <c r="D397" s="51"/>
      <c r="E397" s="51"/>
      <c r="F397" s="48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</row>
    <row r="398" spans="1:78" ht="15.75" x14ac:dyDescent="0.25">
      <c r="A398" s="20"/>
      <c r="B398" s="47"/>
      <c r="C398" s="51"/>
      <c r="D398" s="51"/>
      <c r="E398" s="51"/>
      <c r="F398" s="48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  <c r="BZ398" s="48"/>
    </row>
    <row r="399" spans="1:78" ht="15.75" x14ac:dyDescent="0.25">
      <c r="A399" s="20"/>
      <c r="B399" s="47"/>
      <c r="C399" s="51"/>
      <c r="D399" s="51"/>
      <c r="E399" s="51"/>
      <c r="F399" s="48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  <c r="BZ399" s="48"/>
    </row>
    <row r="400" spans="1:78" ht="15.75" x14ac:dyDescent="0.25">
      <c r="A400" s="20"/>
      <c r="B400" s="47"/>
      <c r="C400" s="51"/>
      <c r="D400" s="51"/>
      <c r="E400" s="51"/>
      <c r="F400" s="48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</row>
    <row r="401" spans="1:78" ht="15.75" x14ac:dyDescent="0.25">
      <c r="A401" s="20"/>
      <c r="B401" s="47"/>
      <c r="C401" s="51"/>
      <c r="D401" s="51"/>
      <c r="E401" s="51"/>
      <c r="F401" s="48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</row>
    <row r="402" spans="1:78" ht="15.75" x14ac:dyDescent="0.25">
      <c r="A402" s="20"/>
      <c r="B402" s="47"/>
      <c r="C402" s="51"/>
      <c r="D402" s="51"/>
      <c r="E402" s="51"/>
      <c r="F402" s="48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</row>
    <row r="403" spans="1:78" ht="15.75" x14ac:dyDescent="0.25">
      <c r="A403" s="20"/>
      <c r="B403" s="47"/>
      <c r="C403" s="51"/>
      <c r="D403" s="51"/>
      <c r="E403" s="51"/>
      <c r="F403" s="48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</row>
    <row r="404" spans="1:78" ht="15.75" x14ac:dyDescent="0.25">
      <c r="A404" s="20"/>
      <c r="B404" s="47"/>
      <c r="C404" s="51"/>
      <c r="D404" s="51"/>
      <c r="E404" s="51"/>
      <c r="F404" s="48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  <c r="BZ404" s="48"/>
    </row>
    <row r="405" spans="1:78" ht="15.75" x14ac:dyDescent="0.25">
      <c r="A405" s="20"/>
      <c r="B405" s="47"/>
      <c r="C405" s="51"/>
      <c r="D405" s="51"/>
      <c r="E405" s="51"/>
      <c r="F405" s="48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  <c r="BZ405" s="48"/>
    </row>
    <row r="406" spans="1:78" ht="15.75" x14ac:dyDescent="0.25">
      <c r="A406" s="20"/>
      <c r="B406" s="47"/>
      <c r="C406" s="51"/>
      <c r="D406" s="51"/>
      <c r="E406" s="51"/>
      <c r="F406" s="48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</row>
    <row r="407" spans="1:78" ht="15.75" x14ac:dyDescent="0.25">
      <c r="A407" s="20"/>
      <c r="B407" s="47"/>
      <c r="C407" s="51"/>
      <c r="D407" s="51"/>
      <c r="E407" s="51"/>
      <c r="F407" s="48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  <c r="BZ407" s="48"/>
    </row>
    <row r="408" spans="1:78" ht="15.75" x14ac:dyDescent="0.25">
      <c r="A408" s="20"/>
      <c r="B408" s="47"/>
      <c r="C408" s="51"/>
      <c r="D408" s="51"/>
      <c r="E408" s="51"/>
      <c r="F408" s="48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  <c r="BZ408" s="48"/>
    </row>
    <row r="409" spans="1:78" ht="15.75" x14ac:dyDescent="0.25">
      <c r="A409" s="20"/>
      <c r="B409" s="47"/>
      <c r="C409" s="51"/>
      <c r="D409" s="51"/>
      <c r="E409" s="51"/>
      <c r="F409" s="48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</row>
    <row r="410" spans="1:78" ht="15.75" x14ac:dyDescent="0.25">
      <c r="A410" s="20"/>
      <c r="B410" s="47"/>
      <c r="C410" s="51"/>
      <c r="D410" s="51"/>
      <c r="E410" s="51"/>
      <c r="F410" s="48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</row>
    <row r="411" spans="1:78" ht="15.75" x14ac:dyDescent="0.25">
      <c r="A411" s="20"/>
      <c r="B411" s="47"/>
      <c r="C411" s="51"/>
      <c r="D411" s="51"/>
      <c r="E411" s="51"/>
      <c r="F411" s="48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  <c r="BZ411" s="48"/>
    </row>
    <row r="412" spans="1:78" ht="15.75" x14ac:dyDescent="0.25">
      <c r="A412" s="20"/>
      <c r="B412" s="47"/>
      <c r="C412" s="51"/>
      <c r="D412" s="51"/>
      <c r="E412" s="51"/>
      <c r="F412" s="48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</row>
    <row r="413" spans="1:78" ht="15.75" x14ac:dyDescent="0.25">
      <c r="A413" s="20"/>
      <c r="B413" s="47"/>
      <c r="C413" s="51"/>
      <c r="D413" s="51"/>
      <c r="E413" s="51"/>
      <c r="F413" s="48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</row>
    <row r="414" spans="1:78" ht="15.75" x14ac:dyDescent="0.25">
      <c r="A414" s="20"/>
      <c r="B414" s="47"/>
      <c r="C414" s="51"/>
      <c r="D414" s="51"/>
      <c r="E414" s="51"/>
      <c r="F414" s="48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</row>
    <row r="415" spans="1:78" ht="15.75" x14ac:dyDescent="0.25">
      <c r="A415" s="20"/>
      <c r="B415" s="47"/>
      <c r="C415" s="51"/>
      <c r="D415" s="51"/>
      <c r="E415" s="51"/>
      <c r="F415" s="48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</row>
    <row r="416" spans="1:78" ht="15.75" x14ac:dyDescent="0.25">
      <c r="A416" s="20"/>
      <c r="B416" s="47"/>
      <c r="C416" s="51"/>
      <c r="D416" s="51"/>
      <c r="E416" s="51"/>
      <c r="F416" s="48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</row>
    <row r="417" spans="1:78" ht="15.75" x14ac:dyDescent="0.25">
      <c r="A417" s="20"/>
      <c r="B417" s="47"/>
      <c r="C417" s="51"/>
      <c r="D417" s="51"/>
      <c r="E417" s="51"/>
      <c r="F417" s="48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</row>
    <row r="418" spans="1:78" ht="15.75" x14ac:dyDescent="0.25">
      <c r="A418" s="20"/>
      <c r="B418" s="47"/>
      <c r="C418" s="51"/>
      <c r="D418" s="51"/>
      <c r="E418" s="51"/>
      <c r="F418" s="48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</row>
    <row r="419" spans="1:78" ht="15.75" x14ac:dyDescent="0.25">
      <c r="A419" s="20"/>
      <c r="B419" s="47"/>
      <c r="C419" s="51"/>
      <c r="D419" s="51"/>
      <c r="E419" s="51"/>
      <c r="F419" s="48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  <c r="BZ419" s="48"/>
    </row>
    <row r="420" spans="1:78" ht="15.75" x14ac:dyDescent="0.25">
      <c r="A420" s="20"/>
      <c r="B420" s="47"/>
      <c r="C420" s="51"/>
      <c r="D420" s="51"/>
      <c r="E420" s="51"/>
      <c r="F420" s="48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  <c r="BZ420" s="48"/>
    </row>
    <row r="421" spans="1:78" ht="15.75" x14ac:dyDescent="0.25">
      <c r="A421" s="20"/>
      <c r="B421" s="47"/>
      <c r="C421" s="51"/>
      <c r="D421" s="51"/>
      <c r="E421" s="51"/>
      <c r="F421" s="48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</row>
    <row r="422" spans="1:78" ht="15.75" x14ac:dyDescent="0.25">
      <c r="A422" s="20"/>
      <c r="B422" s="47"/>
      <c r="C422" s="51"/>
      <c r="D422" s="51"/>
      <c r="E422" s="51"/>
      <c r="F422" s="48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</row>
    <row r="423" spans="1:78" ht="15.75" x14ac:dyDescent="0.25">
      <c r="A423" s="20"/>
      <c r="B423" s="47"/>
      <c r="C423" s="51"/>
      <c r="D423" s="51"/>
      <c r="E423" s="51"/>
      <c r="F423" s="48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  <c r="BZ423" s="48"/>
    </row>
    <row r="424" spans="1:78" ht="15.75" x14ac:dyDescent="0.25">
      <c r="A424" s="20"/>
      <c r="B424" s="47"/>
      <c r="C424" s="51"/>
      <c r="D424" s="51"/>
      <c r="E424" s="51"/>
      <c r="F424" s="48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</row>
    <row r="425" spans="1:78" ht="15.75" x14ac:dyDescent="0.25">
      <c r="A425" s="20"/>
      <c r="B425" s="47"/>
      <c r="C425" s="51"/>
      <c r="D425" s="51"/>
      <c r="E425" s="51"/>
      <c r="F425" s="48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  <c r="BZ425" s="48"/>
    </row>
    <row r="426" spans="1:78" ht="15.75" x14ac:dyDescent="0.25">
      <c r="A426" s="20"/>
      <c r="B426" s="47"/>
      <c r="C426" s="51"/>
      <c r="D426" s="51"/>
      <c r="E426" s="51"/>
      <c r="F426" s="48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  <c r="BZ426" s="48"/>
    </row>
    <row r="427" spans="1:78" ht="15.75" x14ac:dyDescent="0.25">
      <c r="A427" s="20"/>
      <c r="B427" s="47"/>
      <c r="C427" s="51"/>
      <c r="D427" s="51"/>
      <c r="E427" s="51"/>
      <c r="F427" s="48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</row>
    <row r="428" spans="1:78" ht="15.75" x14ac:dyDescent="0.25">
      <c r="A428" s="20"/>
      <c r="B428" s="47"/>
      <c r="C428" s="51"/>
      <c r="D428" s="51"/>
      <c r="E428" s="51"/>
      <c r="F428" s="48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  <c r="BZ428" s="48"/>
    </row>
    <row r="429" spans="1:78" ht="15.75" x14ac:dyDescent="0.25">
      <c r="A429" s="20"/>
      <c r="B429" s="47"/>
      <c r="C429" s="51"/>
      <c r="D429" s="51"/>
      <c r="E429" s="51"/>
      <c r="F429" s="48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</row>
    <row r="430" spans="1:78" ht="15.75" x14ac:dyDescent="0.25">
      <c r="A430" s="20"/>
      <c r="B430" s="47"/>
      <c r="C430" s="51"/>
      <c r="D430" s="51"/>
      <c r="E430" s="51"/>
      <c r="F430" s="48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</row>
    <row r="431" spans="1:78" ht="15.75" x14ac:dyDescent="0.25">
      <c r="A431" s="20"/>
      <c r="B431" s="47"/>
      <c r="C431" s="51"/>
      <c r="D431" s="51"/>
      <c r="E431" s="51"/>
      <c r="F431" s="48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</row>
    <row r="432" spans="1:78" ht="15.75" x14ac:dyDescent="0.25">
      <c r="A432" s="20"/>
      <c r="B432" s="47"/>
      <c r="C432" s="51"/>
      <c r="D432" s="51"/>
      <c r="E432" s="51"/>
      <c r="F432" s="48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</row>
    <row r="433" spans="1:78" ht="15.75" x14ac:dyDescent="0.25">
      <c r="A433" s="20"/>
      <c r="B433" s="47"/>
      <c r="C433" s="51"/>
      <c r="D433" s="51"/>
      <c r="E433" s="51"/>
      <c r="F433" s="48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</row>
    <row r="434" spans="1:78" ht="15.75" x14ac:dyDescent="0.25">
      <c r="A434" s="20"/>
      <c r="B434" s="47"/>
      <c r="C434" s="51"/>
      <c r="D434" s="51"/>
      <c r="E434" s="51"/>
      <c r="F434" s="48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</row>
    <row r="435" spans="1:78" ht="15.75" x14ac:dyDescent="0.25">
      <c r="A435" s="20"/>
      <c r="B435" s="47"/>
      <c r="C435" s="51"/>
      <c r="D435" s="51"/>
      <c r="E435" s="51"/>
      <c r="F435" s="48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  <c r="BZ435" s="48"/>
    </row>
    <row r="436" spans="1:78" ht="15.75" x14ac:dyDescent="0.25">
      <c r="A436" s="20"/>
      <c r="B436" s="47"/>
      <c r="C436" s="51"/>
      <c r="D436" s="51"/>
      <c r="E436" s="51"/>
      <c r="F436" s="48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</row>
    <row r="437" spans="1:78" ht="15.75" x14ac:dyDescent="0.25">
      <c r="A437" s="20"/>
      <c r="B437" s="47"/>
      <c r="C437" s="51"/>
      <c r="D437" s="51"/>
      <c r="E437" s="51"/>
      <c r="F437" s="48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  <c r="BZ437" s="48"/>
    </row>
    <row r="438" spans="1:78" ht="15.75" x14ac:dyDescent="0.25">
      <c r="A438" s="20"/>
      <c r="B438" s="47"/>
      <c r="C438" s="51"/>
      <c r="D438" s="51"/>
      <c r="E438" s="51"/>
      <c r="F438" s="48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  <c r="BZ438" s="48"/>
    </row>
    <row r="439" spans="1:78" ht="15.75" x14ac:dyDescent="0.25">
      <c r="A439" s="20"/>
      <c r="B439" s="47"/>
      <c r="C439" s="51"/>
      <c r="D439" s="51"/>
      <c r="E439" s="51"/>
      <c r="F439" s="48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</row>
    <row r="440" spans="1:78" ht="15.75" x14ac:dyDescent="0.25">
      <c r="A440" s="20"/>
      <c r="B440" s="47"/>
      <c r="C440" s="51"/>
      <c r="D440" s="51"/>
      <c r="E440" s="51"/>
      <c r="F440" s="48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</row>
    <row r="441" spans="1:78" ht="15.75" x14ac:dyDescent="0.25">
      <c r="A441" s="20"/>
      <c r="B441" s="47"/>
      <c r="C441" s="51"/>
      <c r="D441" s="51"/>
      <c r="E441" s="51"/>
      <c r="F441" s="48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48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  <c r="BZ441" s="48"/>
    </row>
    <row r="442" spans="1:78" ht="15.75" x14ac:dyDescent="0.25">
      <c r="A442" s="20"/>
      <c r="B442" s="47"/>
      <c r="C442" s="51"/>
      <c r="D442" s="51"/>
      <c r="E442" s="51"/>
      <c r="F442" s="48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</row>
    <row r="443" spans="1:78" ht="15.75" x14ac:dyDescent="0.25">
      <c r="A443" s="20"/>
      <c r="B443" s="47"/>
      <c r="C443" s="51"/>
      <c r="D443" s="51"/>
      <c r="E443" s="51"/>
      <c r="F443" s="48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</row>
    <row r="444" spans="1:78" ht="15.75" x14ac:dyDescent="0.25">
      <c r="A444" s="20"/>
      <c r="B444" s="47"/>
      <c r="C444" s="51"/>
      <c r="D444" s="51"/>
      <c r="E444" s="51"/>
      <c r="F444" s="48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</row>
    <row r="445" spans="1:78" ht="15.75" x14ac:dyDescent="0.25">
      <c r="A445" s="20"/>
      <c r="B445" s="47"/>
      <c r="C445" s="51"/>
      <c r="D445" s="51"/>
      <c r="E445" s="51"/>
      <c r="F445" s="48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</row>
    <row r="446" spans="1:78" ht="15.75" x14ac:dyDescent="0.25">
      <c r="A446" s="20"/>
      <c r="B446" s="47"/>
      <c r="C446" s="51"/>
      <c r="D446" s="51"/>
      <c r="E446" s="51"/>
      <c r="F446" s="48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</row>
    <row r="447" spans="1:78" ht="15.75" x14ac:dyDescent="0.25">
      <c r="A447" s="20"/>
      <c r="B447" s="47"/>
      <c r="C447" s="51"/>
      <c r="D447" s="51"/>
      <c r="E447" s="51"/>
      <c r="F447" s="48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</row>
    <row r="448" spans="1:78" ht="15.75" x14ac:dyDescent="0.25">
      <c r="A448" s="20"/>
      <c r="B448" s="47"/>
      <c r="C448" s="51"/>
      <c r="D448" s="51"/>
      <c r="E448" s="51"/>
      <c r="F448" s="48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</row>
    <row r="449" spans="1:78" ht="15.75" x14ac:dyDescent="0.25">
      <c r="A449" s="20"/>
      <c r="B449" s="47"/>
      <c r="C449" s="51"/>
      <c r="D449" s="51"/>
      <c r="E449" s="51"/>
      <c r="F449" s="48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48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  <c r="BZ449" s="48"/>
    </row>
    <row r="450" spans="1:78" ht="15.75" x14ac:dyDescent="0.25">
      <c r="A450" s="20"/>
      <c r="B450" s="47"/>
      <c r="C450" s="51"/>
      <c r="D450" s="51"/>
      <c r="E450" s="51"/>
      <c r="F450" s="48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</row>
    <row r="451" spans="1:78" ht="15.75" x14ac:dyDescent="0.25">
      <c r="A451" s="20"/>
      <c r="B451" s="47"/>
      <c r="C451" s="51"/>
      <c r="D451" s="51"/>
      <c r="E451" s="51"/>
      <c r="F451" s="48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</row>
    <row r="452" spans="1:78" ht="15.75" x14ac:dyDescent="0.25">
      <c r="A452" s="20"/>
      <c r="B452" s="47"/>
      <c r="C452" s="51"/>
      <c r="D452" s="51"/>
      <c r="E452" s="51"/>
      <c r="F452" s="48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</row>
    <row r="453" spans="1:78" ht="15.75" x14ac:dyDescent="0.25">
      <c r="A453" s="20"/>
      <c r="B453" s="47"/>
      <c r="C453" s="51"/>
      <c r="D453" s="51"/>
      <c r="E453" s="51"/>
      <c r="F453" s="48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48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  <c r="BZ453" s="48"/>
    </row>
    <row r="454" spans="1:78" ht="15.75" x14ac:dyDescent="0.25">
      <c r="A454" s="20"/>
      <c r="B454" s="47"/>
      <c r="C454" s="51"/>
      <c r="D454" s="51"/>
      <c r="E454" s="51"/>
      <c r="F454" s="48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</row>
    <row r="455" spans="1:78" ht="15.75" x14ac:dyDescent="0.25">
      <c r="A455" s="20"/>
      <c r="B455" s="47"/>
      <c r="C455" s="51"/>
      <c r="D455" s="51"/>
      <c r="E455" s="51"/>
      <c r="F455" s="48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</row>
    <row r="456" spans="1:78" ht="15.75" x14ac:dyDescent="0.25">
      <c r="A456" s="20"/>
      <c r="B456" s="47"/>
      <c r="C456" s="51"/>
      <c r="D456" s="51"/>
      <c r="E456" s="51"/>
      <c r="F456" s="48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</row>
    <row r="457" spans="1:78" ht="15.75" x14ac:dyDescent="0.25">
      <c r="A457" s="20"/>
      <c r="B457" s="47"/>
      <c r="C457" s="51"/>
      <c r="D457" s="51"/>
      <c r="E457" s="51"/>
      <c r="F457" s="48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</row>
    <row r="458" spans="1:78" ht="15.75" x14ac:dyDescent="0.25">
      <c r="A458" s="20"/>
      <c r="B458" s="47"/>
      <c r="C458" s="51"/>
      <c r="D458" s="51"/>
      <c r="E458" s="51"/>
      <c r="F458" s="48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48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  <c r="BZ458" s="48"/>
    </row>
    <row r="459" spans="1:78" ht="15.75" x14ac:dyDescent="0.25">
      <c r="A459" s="20"/>
      <c r="B459" s="47"/>
      <c r="C459" s="51"/>
      <c r="D459" s="51"/>
      <c r="E459" s="51"/>
      <c r="F459" s="48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48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  <c r="BZ459" s="48"/>
    </row>
    <row r="460" spans="1:78" ht="15.75" x14ac:dyDescent="0.25">
      <c r="A460" s="20"/>
      <c r="B460" s="47"/>
      <c r="C460" s="51"/>
      <c r="D460" s="51"/>
      <c r="E460" s="51"/>
      <c r="F460" s="48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</row>
    <row r="461" spans="1:78" ht="15.75" x14ac:dyDescent="0.25">
      <c r="A461" s="20"/>
      <c r="B461" s="47"/>
      <c r="C461" s="51"/>
      <c r="D461" s="51"/>
      <c r="E461" s="51"/>
      <c r="F461" s="48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</row>
    <row r="462" spans="1:78" ht="15.75" x14ac:dyDescent="0.25">
      <c r="A462" s="20"/>
      <c r="B462" s="47"/>
      <c r="C462" s="51"/>
      <c r="D462" s="51"/>
      <c r="E462" s="51"/>
      <c r="F462" s="48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</row>
    <row r="463" spans="1:78" ht="15.75" x14ac:dyDescent="0.25">
      <c r="A463" s="20"/>
      <c r="B463" s="47"/>
      <c r="C463" s="51"/>
      <c r="D463" s="51"/>
      <c r="E463" s="51"/>
      <c r="F463" s="48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</row>
    <row r="464" spans="1:78" ht="15.75" x14ac:dyDescent="0.25">
      <c r="A464" s="20"/>
      <c r="B464" s="47"/>
      <c r="C464" s="51"/>
      <c r="D464" s="51"/>
      <c r="E464" s="51"/>
      <c r="F464" s="48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</row>
    <row r="465" spans="1:78" ht="15.75" x14ac:dyDescent="0.25">
      <c r="A465" s="20"/>
      <c r="B465" s="47"/>
      <c r="C465" s="51"/>
      <c r="D465" s="51"/>
      <c r="E465" s="51"/>
      <c r="F465" s="48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48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  <c r="BZ465" s="48"/>
    </row>
    <row r="466" spans="1:78" ht="15.75" x14ac:dyDescent="0.25">
      <c r="A466" s="20"/>
      <c r="B466" s="47"/>
      <c r="C466" s="51"/>
      <c r="D466" s="51"/>
      <c r="E466" s="51"/>
      <c r="F466" s="48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</row>
    <row r="467" spans="1:78" ht="15.75" x14ac:dyDescent="0.25">
      <c r="A467" s="20"/>
      <c r="B467" s="47"/>
      <c r="C467" s="51"/>
      <c r="D467" s="51"/>
      <c r="E467" s="51"/>
      <c r="F467" s="48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48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  <c r="BZ467" s="48"/>
    </row>
    <row r="468" spans="1:78" ht="15.75" x14ac:dyDescent="0.25">
      <c r="A468" s="20"/>
      <c r="B468" s="47"/>
      <c r="C468" s="51"/>
      <c r="D468" s="51"/>
      <c r="E468" s="51"/>
      <c r="F468" s="48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48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  <c r="BZ468" s="48"/>
    </row>
    <row r="469" spans="1:78" ht="15.75" x14ac:dyDescent="0.25">
      <c r="A469" s="20"/>
      <c r="B469" s="47"/>
      <c r="C469" s="51"/>
      <c r="D469" s="51"/>
      <c r="E469" s="51"/>
      <c r="F469" s="48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</row>
    <row r="470" spans="1:78" ht="15.75" x14ac:dyDescent="0.25">
      <c r="A470" s="20"/>
      <c r="B470" s="47"/>
      <c r="C470" s="51"/>
      <c r="D470" s="51"/>
      <c r="E470" s="51"/>
      <c r="F470" s="48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  <c r="BZ470" s="48"/>
    </row>
    <row r="471" spans="1:78" ht="15.75" x14ac:dyDescent="0.25">
      <c r="A471" s="20"/>
      <c r="B471" s="47"/>
      <c r="C471" s="51"/>
      <c r="D471" s="51"/>
      <c r="E471" s="51"/>
      <c r="F471" s="48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48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  <c r="BZ471" s="48"/>
    </row>
    <row r="472" spans="1:78" ht="15.75" x14ac:dyDescent="0.25">
      <c r="A472" s="20"/>
      <c r="B472" s="47"/>
      <c r="C472" s="51"/>
      <c r="D472" s="51"/>
      <c r="E472" s="51"/>
      <c r="F472" s="48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</row>
    <row r="473" spans="1:78" ht="15.75" x14ac:dyDescent="0.25">
      <c r="A473" s="20"/>
      <c r="B473" s="47"/>
      <c r="C473" s="51"/>
      <c r="D473" s="51"/>
      <c r="E473" s="51"/>
      <c r="F473" s="48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48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  <c r="BZ473" s="48"/>
    </row>
    <row r="474" spans="1:78" ht="15.75" x14ac:dyDescent="0.25">
      <c r="A474" s="20"/>
      <c r="B474" s="47"/>
      <c r="C474" s="51"/>
      <c r="D474" s="51"/>
      <c r="E474" s="51"/>
      <c r="F474" s="48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</row>
    <row r="475" spans="1:78" ht="15.75" x14ac:dyDescent="0.25">
      <c r="A475" s="20"/>
      <c r="B475" s="47"/>
      <c r="C475" s="51"/>
      <c r="D475" s="51"/>
      <c r="E475" s="51"/>
      <c r="F475" s="48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</row>
    <row r="476" spans="1:78" ht="15.75" x14ac:dyDescent="0.25">
      <c r="A476" s="20"/>
      <c r="B476" s="47"/>
      <c r="C476" s="51"/>
      <c r="D476" s="51"/>
      <c r="E476" s="51"/>
      <c r="F476" s="48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</row>
    <row r="477" spans="1:78" ht="15.75" x14ac:dyDescent="0.25">
      <c r="A477" s="20"/>
      <c r="B477" s="47"/>
      <c r="C477" s="51"/>
      <c r="D477" s="51"/>
      <c r="E477" s="51"/>
      <c r="F477" s="48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</row>
    <row r="478" spans="1:78" ht="15.75" x14ac:dyDescent="0.25">
      <c r="A478" s="20"/>
      <c r="B478" s="47"/>
      <c r="C478" s="51"/>
      <c r="D478" s="51"/>
      <c r="E478" s="51"/>
      <c r="F478" s="48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</row>
    <row r="479" spans="1:78" ht="15.75" x14ac:dyDescent="0.25">
      <c r="A479" s="20"/>
      <c r="B479" s="47"/>
      <c r="C479" s="51"/>
      <c r="D479" s="51"/>
      <c r="E479" s="51"/>
      <c r="F479" s="48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48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  <c r="BZ479" s="48"/>
    </row>
    <row r="480" spans="1:78" ht="15.75" x14ac:dyDescent="0.25">
      <c r="A480" s="20"/>
      <c r="B480" s="47"/>
      <c r="C480" s="51"/>
      <c r="D480" s="51"/>
      <c r="E480" s="51"/>
      <c r="F480" s="48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48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  <c r="BZ480" s="48"/>
    </row>
    <row r="481" spans="1:78" ht="15.75" x14ac:dyDescent="0.25">
      <c r="A481" s="20"/>
      <c r="B481" s="47"/>
      <c r="C481" s="51"/>
      <c r="D481" s="51"/>
      <c r="E481" s="51"/>
      <c r="F481" s="48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</row>
    <row r="482" spans="1:78" ht="15.75" x14ac:dyDescent="0.25">
      <c r="A482" s="20"/>
      <c r="B482" s="47"/>
      <c r="C482" s="51"/>
      <c r="D482" s="51"/>
      <c r="E482" s="51"/>
      <c r="F482" s="48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</row>
    <row r="483" spans="1:78" ht="15.75" x14ac:dyDescent="0.25">
      <c r="A483" s="20"/>
      <c r="B483" s="47"/>
      <c r="C483" s="51"/>
      <c r="D483" s="51"/>
      <c r="E483" s="51"/>
      <c r="F483" s="48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48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  <c r="BZ483" s="48"/>
    </row>
    <row r="484" spans="1:78" ht="15.75" x14ac:dyDescent="0.25">
      <c r="A484" s="20"/>
      <c r="B484" s="47"/>
      <c r="C484" s="51"/>
      <c r="D484" s="51"/>
      <c r="E484" s="51"/>
      <c r="F484" s="48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</row>
    <row r="485" spans="1:78" ht="15.75" x14ac:dyDescent="0.25">
      <c r="A485" s="20"/>
      <c r="B485" s="47"/>
      <c r="C485" s="51"/>
      <c r="D485" s="51"/>
      <c r="E485" s="51"/>
      <c r="F485" s="48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</row>
    <row r="486" spans="1:78" ht="15.75" x14ac:dyDescent="0.25">
      <c r="A486" s="20"/>
      <c r="B486" s="47"/>
      <c r="C486" s="51"/>
      <c r="D486" s="51"/>
      <c r="E486" s="51"/>
      <c r="F486" s="48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</row>
    <row r="487" spans="1:78" ht="15.75" x14ac:dyDescent="0.25">
      <c r="A487" s="20"/>
      <c r="B487" s="47"/>
      <c r="C487" s="51"/>
      <c r="D487" s="51"/>
      <c r="E487" s="51"/>
      <c r="F487" s="48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</row>
    <row r="488" spans="1:78" ht="15.75" x14ac:dyDescent="0.25">
      <c r="A488" s="20"/>
      <c r="B488" s="47"/>
      <c r="C488" s="51"/>
      <c r="D488" s="51"/>
      <c r="E488" s="51"/>
      <c r="F488" s="48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</row>
    <row r="489" spans="1:78" ht="15.75" x14ac:dyDescent="0.25">
      <c r="A489" s="20"/>
      <c r="B489" s="47"/>
      <c r="C489" s="51"/>
      <c r="D489" s="51"/>
      <c r="E489" s="51"/>
      <c r="F489" s="48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48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  <c r="BZ489" s="48"/>
    </row>
    <row r="490" spans="1:78" ht="15.75" x14ac:dyDescent="0.25">
      <c r="A490" s="20"/>
      <c r="B490" s="47"/>
      <c r="C490" s="51"/>
      <c r="D490" s="51"/>
      <c r="E490" s="51"/>
      <c r="F490" s="48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</row>
    <row r="491" spans="1:78" ht="15.75" x14ac:dyDescent="0.25">
      <c r="A491" s="20"/>
      <c r="B491" s="47"/>
      <c r="C491" s="51"/>
      <c r="D491" s="51"/>
      <c r="E491" s="51"/>
      <c r="F491" s="48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48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  <c r="BZ491" s="48"/>
    </row>
    <row r="492" spans="1:78" ht="15.75" x14ac:dyDescent="0.25">
      <c r="A492" s="20"/>
      <c r="B492" s="47"/>
      <c r="C492" s="51"/>
      <c r="D492" s="51"/>
      <c r="E492" s="51"/>
      <c r="F492" s="48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</row>
    <row r="493" spans="1:78" ht="15.75" x14ac:dyDescent="0.25">
      <c r="A493" s="20"/>
      <c r="B493" s="47"/>
      <c r="C493" s="51"/>
      <c r="D493" s="51"/>
      <c r="E493" s="51"/>
      <c r="F493" s="48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</row>
    <row r="494" spans="1:78" ht="15.75" x14ac:dyDescent="0.25">
      <c r="A494" s="20"/>
      <c r="B494" s="47"/>
      <c r="C494" s="51"/>
      <c r="D494" s="51"/>
      <c r="E494" s="51"/>
      <c r="F494" s="48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</row>
    <row r="495" spans="1:78" ht="15.75" x14ac:dyDescent="0.25">
      <c r="A495" s="20"/>
      <c r="B495" s="47"/>
      <c r="C495" s="51"/>
      <c r="D495" s="51"/>
      <c r="E495" s="51"/>
      <c r="F495" s="48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48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  <c r="BZ495" s="48"/>
    </row>
    <row r="496" spans="1:78" ht="15.75" x14ac:dyDescent="0.25">
      <c r="A496" s="20"/>
      <c r="B496" s="47"/>
      <c r="C496" s="51"/>
      <c r="D496" s="51"/>
      <c r="E496" s="51"/>
      <c r="F496" s="48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</row>
    <row r="497" spans="1:78" ht="15.75" x14ac:dyDescent="0.25">
      <c r="A497" s="20"/>
      <c r="B497" s="47"/>
      <c r="C497" s="51"/>
      <c r="D497" s="51"/>
      <c r="E497" s="51"/>
      <c r="F497" s="48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48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  <c r="BZ497" s="48"/>
    </row>
    <row r="498" spans="1:78" ht="15.75" x14ac:dyDescent="0.25">
      <c r="A498" s="20"/>
      <c r="B498" s="47"/>
      <c r="C498" s="51"/>
      <c r="D498" s="51"/>
      <c r="E498" s="51"/>
      <c r="F498" s="48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</row>
    <row r="499" spans="1:78" ht="15.75" x14ac:dyDescent="0.25">
      <c r="A499" s="20"/>
      <c r="B499" s="47"/>
      <c r="C499" s="51"/>
      <c r="D499" s="51"/>
      <c r="E499" s="51"/>
      <c r="F499" s="48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</row>
    <row r="500" spans="1:78" ht="15.75" x14ac:dyDescent="0.25">
      <c r="A500" s="20"/>
      <c r="B500" s="47"/>
      <c r="C500" s="51"/>
      <c r="D500" s="51"/>
      <c r="E500" s="51"/>
      <c r="F500" s="48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</row>
    <row r="501" spans="1:78" ht="15.75" x14ac:dyDescent="0.25">
      <c r="A501" s="20"/>
      <c r="B501" s="47"/>
      <c r="C501" s="51"/>
      <c r="D501" s="51"/>
      <c r="E501" s="51"/>
      <c r="F501" s="48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48"/>
      <c r="BL501" s="48"/>
      <c r="BM501" s="48"/>
      <c r="BN501" s="48"/>
      <c r="BO501" s="48"/>
      <c r="BP501" s="48"/>
      <c r="BQ501" s="48"/>
      <c r="BR501" s="48"/>
      <c r="BS501" s="48"/>
      <c r="BT501" s="48"/>
      <c r="BU501" s="48"/>
      <c r="BV501" s="48"/>
      <c r="BW501" s="48"/>
      <c r="BX501" s="48"/>
      <c r="BY501" s="48"/>
      <c r="BZ501" s="48"/>
    </row>
    <row r="502" spans="1:78" ht="15.75" x14ac:dyDescent="0.25">
      <c r="A502" s="20"/>
      <c r="B502" s="47"/>
      <c r="C502" s="51"/>
      <c r="D502" s="51"/>
      <c r="E502" s="51"/>
      <c r="F502" s="48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</row>
    <row r="503" spans="1:78" ht="15.75" x14ac:dyDescent="0.25">
      <c r="A503" s="20"/>
      <c r="B503" s="47"/>
      <c r="C503" s="51"/>
      <c r="D503" s="51"/>
      <c r="E503" s="51"/>
      <c r="F503" s="48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</row>
    <row r="504" spans="1:78" ht="15.75" x14ac:dyDescent="0.25">
      <c r="A504" s="20"/>
      <c r="B504" s="47"/>
      <c r="C504" s="51"/>
      <c r="D504" s="51"/>
      <c r="E504" s="51"/>
      <c r="F504" s="48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48"/>
      <c r="BL504" s="48"/>
      <c r="BM504" s="48"/>
      <c r="BN504" s="48"/>
      <c r="BO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  <c r="BZ504" s="48"/>
    </row>
    <row r="505" spans="1:78" ht="15.75" x14ac:dyDescent="0.25">
      <c r="A505" s="20"/>
      <c r="B505" s="47"/>
      <c r="C505" s="51"/>
      <c r="D505" s="51"/>
      <c r="E505" s="51"/>
      <c r="F505" s="48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48"/>
      <c r="BL505" s="48"/>
      <c r="BM505" s="48"/>
      <c r="BN505" s="48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  <c r="BZ505" s="48"/>
    </row>
    <row r="506" spans="1:78" ht="15.75" x14ac:dyDescent="0.25">
      <c r="A506" s="20"/>
      <c r="B506" s="47"/>
      <c r="C506" s="51"/>
      <c r="D506" s="51"/>
      <c r="E506" s="51"/>
      <c r="F506" s="48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48"/>
      <c r="BL506" s="48"/>
      <c r="BM506" s="48"/>
      <c r="BN506" s="48"/>
      <c r="BO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  <c r="BZ506" s="48"/>
    </row>
    <row r="507" spans="1:78" ht="15.75" x14ac:dyDescent="0.25">
      <c r="A507" s="20"/>
      <c r="B507" s="47"/>
      <c r="C507" s="51"/>
      <c r="D507" s="51"/>
      <c r="E507" s="51"/>
      <c r="F507" s="48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  <c r="BZ507" s="48"/>
    </row>
    <row r="508" spans="1:78" ht="15.75" x14ac:dyDescent="0.25">
      <c r="A508" s="20"/>
      <c r="B508" s="47"/>
      <c r="C508" s="51"/>
      <c r="D508" s="51"/>
      <c r="E508" s="51"/>
      <c r="F508" s="48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</row>
    <row r="509" spans="1:78" ht="15.75" x14ac:dyDescent="0.25">
      <c r="A509" s="20"/>
      <c r="B509" s="47"/>
      <c r="C509" s="51"/>
      <c r="D509" s="51"/>
      <c r="E509" s="51"/>
      <c r="F509" s="48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48"/>
      <c r="BL509" s="48"/>
      <c r="BM509" s="48"/>
      <c r="BN509" s="48"/>
      <c r="BO509" s="48"/>
      <c r="BP509" s="48"/>
      <c r="BQ509" s="48"/>
      <c r="BR509" s="48"/>
      <c r="BS509" s="48"/>
      <c r="BT509" s="48"/>
      <c r="BU509" s="48"/>
      <c r="BV509" s="48"/>
      <c r="BW509" s="48"/>
      <c r="BX509" s="48"/>
      <c r="BY509" s="48"/>
      <c r="BZ509" s="48"/>
    </row>
    <row r="510" spans="1:78" ht="15.75" x14ac:dyDescent="0.25">
      <c r="A510" s="20"/>
      <c r="B510" s="47"/>
      <c r="C510" s="51"/>
      <c r="D510" s="51"/>
      <c r="E510" s="51"/>
      <c r="F510" s="48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48"/>
      <c r="BL510" s="48"/>
      <c r="BM510" s="48"/>
      <c r="BN510" s="48"/>
      <c r="BO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  <c r="BZ510" s="48"/>
    </row>
    <row r="511" spans="1:78" ht="15.75" x14ac:dyDescent="0.25">
      <c r="A511" s="20"/>
      <c r="B511" s="47"/>
      <c r="C511" s="51"/>
      <c r="D511" s="51"/>
      <c r="E511" s="51"/>
      <c r="F511" s="48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48"/>
      <c r="BL511" s="48"/>
      <c r="BM511" s="48"/>
      <c r="BN511" s="48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  <c r="BZ511" s="48"/>
    </row>
    <row r="512" spans="1:78" ht="15.75" x14ac:dyDescent="0.25">
      <c r="A512" s="20"/>
      <c r="B512" s="47"/>
      <c r="C512" s="51"/>
      <c r="D512" s="51"/>
      <c r="E512" s="51"/>
      <c r="F512" s="48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48"/>
      <c r="BL512" s="48"/>
      <c r="BM512" s="48"/>
      <c r="BN512" s="48"/>
      <c r="BO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  <c r="BZ512" s="48"/>
    </row>
    <row r="513" spans="1:78" ht="15.75" x14ac:dyDescent="0.25">
      <c r="A513" s="20"/>
      <c r="B513" s="47"/>
      <c r="C513" s="51"/>
      <c r="D513" s="51"/>
      <c r="E513" s="51"/>
      <c r="F513" s="48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48"/>
      <c r="BL513" s="48"/>
      <c r="BM513" s="48"/>
      <c r="BN513" s="48"/>
      <c r="BO513" s="48"/>
      <c r="BP513" s="48"/>
      <c r="BQ513" s="48"/>
      <c r="BR513" s="48"/>
      <c r="BS513" s="48"/>
      <c r="BT513" s="48"/>
      <c r="BU513" s="48"/>
      <c r="BV513" s="48"/>
      <c r="BW513" s="48"/>
      <c r="BX513" s="48"/>
      <c r="BY513" s="48"/>
      <c r="BZ513" s="48"/>
    </row>
    <row r="514" spans="1:78" ht="15.75" x14ac:dyDescent="0.25">
      <c r="A514" s="20"/>
      <c r="B514" s="47"/>
      <c r="C514" s="51"/>
      <c r="D514" s="51"/>
      <c r="E514" s="51"/>
      <c r="F514" s="48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8"/>
      <c r="BN514" s="48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</row>
    <row r="515" spans="1:78" ht="15.75" x14ac:dyDescent="0.25">
      <c r="A515" s="20"/>
      <c r="B515" s="47"/>
      <c r="C515" s="51"/>
      <c r="D515" s="51"/>
      <c r="E515" s="51"/>
      <c r="F515" s="48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48"/>
      <c r="BL515" s="48"/>
      <c r="BM515" s="48"/>
      <c r="BN515" s="48"/>
      <c r="BO515" s="48"/>
      <c r="BP515" s="48"/>
      <c r="BQ515" s="48"/>
      <c r="BR515" s="48"/>
      <c r="BS515" s="48"/>
      <c r="BT515" s="48"/>
      <c r="BU515" s="48"/>
      <c r="BV515" s="48"/>
      <c r="BW515" s="48"/>
      <c r="BX515" s="48"/>
      <c r="BY515" s="48"/>
      <c r="BZ515" s="48"/>
    </row>
    <row r="516" spans="1:78" ht="15.75" x14ac:dyDescent="0.25">
      <c r="A516" s="20"/>
      <c r="B516" s="47"/>
      <c r="C516" s="51"/>
      <c r="D516" s="51"/>
      <c r="E516" s="51"/>
      <c r="F516" s="48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</row>
    <row r="517" spans="1:78" ht="15.75" x14ac:dyDescent="0.25">
      <c r="A517" s="20"/>
      <c r="B517" s="47"/>
      <c r="C517" s="51"/>
      <c r="D517" s="51"/>
      <c r="E517" s="51"/>
      <c r="F517" s="48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</row>
    <row r="518" spans="1:78" ht="15.75" x14ac:dyDescent="0.25">
      <c r="A518" s="20"/>
      <c r="B518" s="47"/>
      <c r="C518" s="51"/>
      <c r="D518" s="51"/>
      <c r="E518" s="51"/>
      <c r="F518" s="48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</row>
    <row r="519" spans="1:78" ht="15.75" x14ac:dyDescent="0.25">
      <c r="A519" s="20"/>
      <c r="B519" s="47"/>
      <c r="C519" s="51"/>
      <c r="D519" s="51"/>
      <c r="E519" s="51"/>
      <c r="F519" s="48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</row>
    <row r="520" spans="1:78" ht="15.75" x14ac:dyDescent="0.25">
      <c r="A520" s="20"/>
      <c r="B520" s="47"/>
      <c r="C520" s="51"/>
      <c r="D520" s="51"/>
      <c r="E520" s="51"/>
      <c r="F520" s="48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</row>
    <row r="521" spans="1:78" ht="15.75" x14ac:dyDescent="0.25">
      <c r="A521" s="20"/>
      <c r="B521" s="47"/>
      <c r="C521" s="51"/>
      <c r="D521" s="51"/>
      <c r="E521" s="51"/>
      <c r="F521" s="48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</row>
    <row r="522" spans="1:78" ht="15.75" x14ac:dyDescent="0.25">
      <c r="A522" s="20"/>
      <c r="B522" s="47"/>
      <c r="C522" s="51"/>
      <c r="D522" s="51"/>
      <c r="E522" s="51"/>
      <c r="F522" s="48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</row>
    <row r="523" spans="1:78" ht="15.75" x14ac:dyDescent="0.25">
      <c r="A523" s="20"/>
      <c r="B523" s="47"/>
      <c r="C523" s="51"/>
      <c r="D523" s="51"/>
      <c r="E523" s="51"/>
      <c r="F523" s="48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</row>
    <row r="524" spans="1:78" ht="15.75" x14ac:dyDescent="0.25">
      <c r="A524" s="20"/>
      <c r="B524" s="47"/>
      <c r="C524" s="51"/>
      <c r="D524" s="51"/>
      <c r="E524" s="51"/>
      <c r="F524" s="48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</row>
    <row r="525" spans="1:78" ht="15.75" x14ac:dyDescent="0.25">
      <c r="A525" s="20"/>
      <c r="B525" s="47"/>
      <c r="C525" s="51"/>
      <c r="D525" s="51"/>
      <c r="E525" s="51"/>
      <c r="F525" s="48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</row>
    <row r="526" spans="1:78" ht="15.75" x14ac:dyDescent="0.25">
      <c r="A526" s="20"/>
      <c r="B526" s="47"/>
      <c r="C526" s="51"/>
      <c r="D526" s="51"/>
      <c r="E526" s="51"/>
      <c r="F526" s="48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</row>
    <row r="527" spans="1:78" ht="15.75" x14ac:dyDescent="0.25">
      <c r="A527" s="20"/>
      <c r="B527" s="47"/>
      <c r="C527" s="51"/>
      <c r="D527" s="51"/>
      <c r="E527" s="51"/>
      <c r="F527" s="48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</row>
    <row r="528" spans="1:78" ht="15.75" x14ac:dyDescent="0.25">
      <c r="A528" s="20"/>
      <c r="B528" s="47"/>
      <c r="C528" s="51"/>
      <c r="D528" s="51"/>
      <c r="E528" s="51"/>
      <c r="F528" s="48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</row>
    <row r="529" spans="1:78" ht="15.75" x14ac:dyDescent="0.25">
      <c r="A529" s="20"/>
      <c r="B529" s="47"/>
      <c r="C529" s="51"/>
      <c r="D529" s="51"/>
      <c r="E529" s="51"/>
      <c r="F529" s="48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</row>
    <row r="530" spans="1:78" ht="15.75" x14ac:dyDescent="0.25">
      <c r="A530" s="20"/>
      <c r="B530" s="47"/>
      <c r="C530" s="51"/>
      <c r="D530" s="51"/>
      <c r="E530" s="51"/>
      <c r="F530" s="48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48"/>
      <c r="BL530" s="48"/>
      <c r="BM530" s="48"/>
      <c r="BN530" s="48"/>
      <c r="BO530" s="48"/>
      <c r="BP530" s="48"/>
      <c r="BQ530" s="48"/>
      <c r="BR530" s="48"/>
      <c r="BS530" s="48"/>
      <c r="BT530" s="48"/>
      <c r="BU530" s="48"/>
      <c r="BV530" s="48"/>
      <c r="BW530" s="48"/>
      <c r="BX530" s="48"/>
      <c r="BY530" s="48"/>
      <c r="BZ530" s="48"/>
    </row>
    <row r="531" spans="1:78" ht="15.75" x14ac:dyDescent="0.25">
      <c r="A531" s="20"/>
      <c r="B531" s="47"/>
      <c r="C531" s="51"/>
      <c r="D531" s="51"/>
      <c r="E531" s="51"/>
      <c r="F531" s="48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</row>
    <row r="532" spans="1:78" ht="15.75" x14ac:dyDescent="0.25">
      <c r="A532" s="20"/>
      <c r="B532" s="47"/>
      <c r="C532" s="51"/>
      <c r="D532" s="51"/>
      <c r="E532" s="51"/>
      <c r="F532" s="48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  <c r="BL532" s="48"/>
      <c r="BM532" s="48"/>
      <c r="BN532" s="48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  <c r="BZ532" s="48"/>
    </row>
    <row r="533" spans="1:78" ht="15.75" x14ac:dyDescent="0.25">
      <c r="A533" s="20"/>
      <c r="B533" s="47"/>
      <c r="C533" s="51"/>
      <c r="D533" s="51"/>
      <c r="E533" s="51"/>
      <c r="F533" s="48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48"/>
      <c r="BL533" s="48"/>
      <c r="BM533" s="48"/>
      <c r="BN533" s="48"/>
      <c r="BO533" s="48"/>
      <c r="BP533" s="48"/>
      <c r="BQ533" s="48"/>
      <c r="BR533" s="48"/>
      <c r="BS533" s="48"/>
      <c r="BT533" s="48"/>
      <c r="BU533" s="48"/>
      <c r="BV533" s="48"/>
      <c r="BW533" s="48"/>
      <c r="BX533" s="48"/>
      <c r="BY533" s="48"/>
      <c r="BZ533" s="48"/>
    </row>
    <row r="534" spans="1:78" ht="15.75" x14ac:dyDescent="0.25">
      <c r="A534" s="20"/>
      <c r="B534" s="47"/>
      <c r="C534" s="51"/>
      <c r="D534" s="51"/>
      <c r="E534" s="51"/>
      <c r="F534" s="48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</row>
    <row r="535" spans="1:78" ht="15.75" x14ac:dyDescent="0.25">
      <c r="A535" s="20"/>
      <c r="B535" s="47"/>
      <c r="C535" s="51"/>
      <c r="D535" s="51"/>
      <c r="E535" s="51"/>
      <c r="F535" s="48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</row>
    <row r="536" spans="1:78" ht="15.75" x14ac:dyDescent="0.25">
      <c r="A536" s="20"/>
      <c r="B536" s="47"/>
      <c r="C536" s="51"/>
      <c r="D536" s="51"/>
      <c r="E536" s="51"/>
      <c r="F536" s="48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  <c r="BZ536" s="48"/>
    </row>
    <row r="537" spans="1:78" ht="15.75" x14ac:dyDescent="0.25">
      <c r="A537" s="20"/>
      <c r="B537" s="47"/>
      <c r="C537" s="51"/>
      <c r="D537" s="51"/>
      <c r="E537" s="51"/>
      <c r="F537" s="48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</row>
    <row r="538" spans="1:78" ht="15.75" x14ac:dyDescent="0.25">
      <c r="A538" s="20"/>
      <c r="B538" s="47"/>
      <c r="C538" s="51"/>
      <c r="D538" s="51"/>
      <c r="E538" s="51"/>
      <c r="F538" s="48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</row>
    <row r="539" spans="1:78" ht="15.75" x14ac:dyDescent="0.25">
      <c r="A539" s="20"/>
      <c r="B539" s="47"/>
      <c r="C539" s="51"/>
      <c r="D539" s="51"/>
      <c r="E539" s="51"/>
      <c r="F539" s="48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48"/>
      <c r="BL539" s="48"/>
      <c r="BM539" s="48"/>
      <c r="BN539" s="48"/>
      <c r="BO539" s="48"/>
      <c r="BP539" s="48"/>
      <c r="BQ539" s="48"/>
      <c r="BR539" s="48"/>
      <c r="BS539" s="48"/>
      <c r="BT539" s="48"/>
      <c r="BU539" s="48"/>
      <c r="BV539" s="48"/>
      <c r="BW539" s="48"/>
      <c r="BX539" s="48"/>
      <c r="BY539" s="48"/>
      <c r="BZ539" s="48"/>
    </row>
    <row r="540" spans="1:78" ht="15.75" x14ac:dyDescent="0.25">
      <c r="A540" s="20"/>
      <c r="B540" s="47"/>
      <c r="C540" s="51"/>
      <c r="D540" s="51"/>
      <c r="E540" s="51"/>
      <c r="F540" s="48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48"/>
      <c r="BL540" s="48"/>
      <c r="BM540" s="48"/>
      <c r="BN540" s="48"/>
      <c r="BO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  <c r="BZ540" s="48"/>
    </row>
    <row r="541" spans="1:78" ht="15.75" x14ac:dyDescent="0.25">
      <c r="A541" s="20"/>
      <c r="B541" s="47"/>
      <c r="C541" s="51"/>
      <c r="D541" s="51"/>
      <c r="E541" s="51"/>
      <c r="F541" s="48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48"/>
      <c r="BL541" s="48"/>
      <c r="BM541" s="48"/>
      <c r="BN541" s="48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  <c r="BZ541" s="48"/>
    </row>
    <row r="542" spans="1:78" ht="15.75" x14ac:dyDescent="0.25">
      <c r="A542" s="20"/>
      <c r="B542" s="47"/>
      <c r="C542" s="51"/>
      <c r="D542" s="51"/>
      <c r="E542" s="51"/>
      <c r="F542" s="48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O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48"/>
    </row>
    <row r="543" spans="1:78" ht="15.75" x14ac:dyDescent="0.25">
      <c r="A543" s="20"/>
      <c r="B543" s="47"/>
      <c r="C543" s="51"/>
      <c r="D543" s="51"/>
      <c r="E543" s="51"/>
      <c r="F543" s="48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48"/>
      <c r="BL543" s="48"/>
      <c r="BM543" s="48"/>
      <c r="BN543" s="48"/>
      <c r="BO543" s="48"/>
      <c r="BP543" s="48"/>
      <c r="BQ543" s="48"/>
      <c r="BR543" s="48"/>
      <c r="BS543" s="48"/>
      <c r="BT543" s="48"/>
      <c r="BU543" s="48"/>
      <c r="BV543" s="48"/>
      <c r="BW543" s="48"/>
      <c r="BX543" s="48"/>
      <c r="BY543" s="48"/>
      <c r="BZ543" s="48"/>
    </row>
    <row r="544" spans="1:78" ht="15.75" x14ac:dyDescent="0.25">
      <c r="A544" s="20"/>
      <c r="B544" s="47"/>
      <c r="C544" s="51"/>
      <c r="D544" s="51"/>
      <c r="E544" s="51"/>
      <c r="F544" s="48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  <c r="BL544" s="48"/>
      <c r="BM544" s="48"/>
      <c r="BN544" s="48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  <c r="BZ544" s="48"/>
    </row>
    <row r="545" spans="1:78" ht="15.75" x14ac:dyDescent="0.25">
      <c r="A545" s="20"/>
      <c r="B545" s="47"/>
      <c r="C545" s="51"/>
      <c r="D545" s="51"/>
      <c r="E545" s="51"/>
      <c r="F545" s="48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</row>
    <row r="546" spans="1:78" ht="15.75" x14ac:dyDescent="0.25">
      <c r="A546" s="20"/>
      <c r="B546" s="47"/>
      <c r="C546" s="51"/>
      <c r="D546" s="51"/>
      <c r="E546" s="51"/>
      <c r="F546" s="48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  <c r="BL546" s="48"/>
      <c r="BM546" s="48"/>
      <c r="BN546" s="48"/>
      <c r="BO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  <c r="BZ546" s="48"/>
    </row>
    <row r="547" spans="1:78" ht="15.75" x14ac:dyDescent="0.25">
      <c r="A547" s="20"/>
      <c r="B547" s="47"/>
      <c r="C547" s="51"/>
      <c r="D547" s="51"/>
      <c r="E547" s="51"/>
      <c r="F547" s="48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48"/>
      <c r="BL547" s="48"/>
      <c r="BM547" s="48"/>
      <c r="BN547" s="48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  <c r="BZ547" s="48"/>
    </row>
    <row r="548" spans="1:78" ht="15.75" x14ac:dyDescent="0.25">
      <c r="A548" s="20"/>
      <c r="B548" s="47"/>
      <c r="C548" s="51"/>
      <c r="D548" s="51"/>
      <c r="E548" s="51"/>
      <c r="F548" s="48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48"/>
      <c r="BL548" s="48"/>
      <c r="BM548" s="48"/>
      <c r="BN548" s="48"/>
      <c r="BO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  <c r="BZ548" s="48"/>
    </row>
    <row r="549" spans="1:78" ht="15.75" x14ac:dyDescent="0.25">
      <c r="A549" s="20"/>
      <c r="B549" s="47"/>
      <c r="C549" s="51"/>
      <c r="D549" s="51"/>
      <c r="E549" s="51"/>
      <c r="F549" s="48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48"/>
      <c r="BL549" s="48"/>
      <c r="BM549" s="48"/>
      <c r="BN549" s="48"/>
      <c r="BO549" s="48"/>
      <c r="BP549" s="48"/>
      <c r="BQ549" s="48"/>
      <c r="BR549" s="48"/>
      <c r="BS549" s="48"/>
      <c r="BT549" s="48"/>
      <c r="BU549" s="48"/>
      <c r="BV549" s="48"/>
      <c r="BW549" s="48"/>
      <c r="BX549" s="48"/>
      <c r="BY549" s="48"/>
      <c r="BZ549" s="48"/>
    </row>
    <row r="550" spans="1:78" ht="15.75" x14ac:dyDescent="0.25">
      <c r="A550" s="20"/>
      <c r="B550" s="47"/>
      <c r="C550" s="51"/>
      <c r="D550" s="51"/>
      <c r="E550" s="51"/>
      <c r="F550" s="48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  <c r="BL550" s="48"/>
      <c r="BM550" s="48"/>
      <c r="BN550" s="48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  <c r="BZ550" s="48"/>
    </row>
    <row r="551" spans="1:78" ht="15.75" x14ac:dyDescent="0.25">
      <c r="A551" s="20"/>
      <c r="B551" s="47"/>
      <c r="C551" s="51"/>
      <c r="D551" s="51"/>
      <c r="E551" s="51"/>
      <c r="F551" s="48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48"/>
      <c r="BL551" s="48"/>
      <c r="BM551" s="48"/>
      <c r="BN551" s="48"/>
      <c r="BO551" s="48"/>
      <c r="BP551" s="48"/>
      <c r="BQ551" s="48"/>
      <c r="BR551" s="48"/>
      <c r="BS551" s="48"/>
      <c r="BT551" s="48"/>
      <c r="BU551" s="48"/>
      <c r="BV551" s="48"/>
      <c r="BW551" s="48"/>
      <c r="BX551" s="48"/>
      <c r="BY551" s="48"/>
      <c r="BZ551" s="48"/>
    </row>
    <row r="552" spans="1:78" ht="15.75" x14ac:dyDescent="0.25">
      <c r="A552" s="20"/>
      <c r="B552" s="47"/>
      <c r="C552" s="51"/>
      <c r="D552" s="51"/>
      <c r="E552" s="51"/>
      <c r="F552" s="48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48"/>
      <c r="BL552" s="48"/>
      <c r="BM552" s="48"/>
      <c r="BN552" s="48"/>
      <c r="BO552" s="48"/>
      <c r="BP552" s="48"/>
      <c r="BQ552" s="48"/>
      <c r="BR552" s="48"/>
      <c r="BS552" s="48"/>
      <c r="BT552" s="48"/>
      <c r="BU552" s="48"/>
      <c r="BV552" s="48"/>
      <c r="BW552" s="48"/>
      <c r="BX552" s="48"/>
      <c r="BY552" s="48"/>
      <c r="BZ552" s="48"/>
    </row>
    <row r="553" spans="1:78" ht="15.75" x14ac:dyDescent="0.25">
      <c r="A553" s="20"/>
      <c r="B553" s="47"/>
      <c r="C553" s="51"/>
      <c r="D553" s="51"/>
      <c r="E553" s="51"/>
      <c r="F553" s="48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48"/>
      <c r="BL553" s="48"/>
      <c r="BM553" s="48"/>
      <c r="BN553" s="48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  <c r="BZ553" s="48"/>
    </row>
    <row r="554" spans="1:78" ht="15.75" x14ac:dyDescent="0.25">
      <c r="A554" s="20"/>
      <c r="B554" s="47"/>
      <c r="C554" s="51"/>
      <c r="D554" s="51"/>
      <c r="E554" s="51"/>
      <c r="F554" s="48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48"/>
      <c r="BL554" s="48"/>
      <c r="BM554" s="48"/>
      <c r="BN554" s="48"/>
      <c r="BO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  <c r="BZ554" s="48"/>
    </row>
    <row r="555" spans="1:78" ht="15.75" x14ac:dyDescent="0.25">
      <c r="A555" s="20"/>
      <c r="B555" s="47"/>
      <c r="C555" s="51"/>
      <c r="D555" s="51"/>
      <c r="E555" s="51"/>
      <c r="F555" s="48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8"/>
      <c r="BK555" s="48"/>
      <c r="BL555" s="48"/>
      <c r="BM555" s="48"/>
      <c r="BN555" s="48"/>
      <c r="BO555" s="48"/>
      <c r="BP555" s="48"/>
      <c r="BQ555" s="48"/>
      <c r="BR555" s="48"/>
      <c r="BS555" s="48"/>
      <c r="BT555" s="48"/>
      <c r="BU555" s="48"/>
      <c r="BV555" s="48"/>
      <c r="BW555" s="48"/>
      <c r="BX555" s="48"/>
      <c r="BY555" s="48"/>
      <c r="BZ555" s="48"/>
    </row>
    <row r="556" spans="1:78" ht="15.75" x14ac:dyDescent="0.25">
      <c r="A556" s="20"/>
      <c r="B556" s="47"/>
      <c r="C556" s="51"/>
      <c r="D556" s="51"/>
      <c r="E556" s="51"/>
      <c r="F556" s="48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48"/>
      <c r="BL556" s="48"/>
      <c r="BM556" s="48"/>
      <c r="BN556" s="48"/>
      <c r="BO556" s="48"/>
      <c r="BP556" s="48"/>
      <c r="BQ556" s="48"/>
      <c r="BR556" s="48"/>
      <c r="BS556" s="48"/>
      <c r="BT556" s="48"/>
      <c r="BU556" s="48"/>
      <c r="BV556" s="48"/>
      <c r="BW556" s="48"/>
      <c r="BX556" s="48"/>
      <c r="BY556" s="48"/>
      <c r="BZ556" s="48"/>
    </row>
    <row r="557" spans="1:78" ht="15.75" x14ac:dyDescent="0.25">
      <c r="A557" s="20"/>
      <c r="B557" s="47"/>
      <c r="C557" s="51"/>
      <c r="D557" s="51"/>
      <c r="E557" s="51"/>
      <c r="F557" s="48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8"/>
      <c r="BK557" s="48"/>
      <c r="BL557" s="48"/>
      <c r="BM557" s="48"/>
      <c r="BN557" s="48"/>
      <c r="BO557" s="48"/>
      <c r="BP557" s="48"/>
      <c r="BQ557" s="48"/>
      <c r="BR557" s="48"/>
      <c r="BS557" s="48"/>
      <c r="BT557" s="48"/>
      <c r="BU557" s="48"/>
      <c r="BV557" s="48"/>
      <c r="BW557" s="48"/>
      <c r="BX557" s="48"/>
      <c r="BY557" s="48"/>
      <c r="BZ557" s="48"/>
    </row>
    <row r="558" spans="1:78" ht="15.75" x14ac:dyDescent="0.25">
      <c r="A558" s="20"/>
      <c r="B558" s="47"/>
      <c r="C558" s="51"/>
      <c r="D558" s="51"/>
      <c r="E558" s="51"/>
      <c r="F558" s="48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48"/>
      <c r="BL558" s="48"/>
      <c r="BM558" s="48"/>
      <c r="BN558" s="48"/>
      <c r="BO558" s="48"/>
      <c r="BP558" s="48"/>
      <c r="BQ558" s="48"/>
      <c r="BR558" s="48"/>
      <c r="BS558" s="48"/>
      <c r="BT558" s="48"/>
      <c r="BU558" s="48"/>
      <c r="BV558" s="48"/>
      <c r="BW558" s="48"/>
      <c r="BX558" s="48"/>
      <c r="BY558" s="48"/>
      <c r="BZ558" s="48"/>
    </row>
    <row r="559" spans="1:78" ht="15.75" x14ac:dyDescent="0.25">
      <c r="A559" s="20"/>
      <c r="B559" s="47"/>
      <c r="C559" s="51"/>
      <c r="D559" s="51"/>
      <c r="E559" s="51"/>
      <c r="F559" s="48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48"/>
      <c r="BL559" s="48"/>
      <c r="BM559" s="48"/>
      <c r="BN559" s="48"/>
      <c r="BO559" s="48"/>
      <c r="BP559" s="48"/>
      <c r="BQ559" s="48"/>
      <c r="BR559" s="48"/>
      <c r="BS559" s="48"/>
      <c r="BT559" s="48"/>
      <c r="BU559" s="48"/>
      <c r="BV559" s="48"/>
      <c r="BW559" s="48"/>
      <c r="BX559" s="48"/>
      <c r="BY559" s="48"/>
      <c r="BZ559" s="48"/>
    </row>
    <row r="560" spans="1:78" ht="15.75" x14ac:dyDescent="0.25">
      <c r="A560" s="20"/>
      <c r="B560" s="47"/>
      <c r="C560" s="51"/>
      <c r="D560" s="51"/>
      <c r="E560" s="51"/>
      <c r="F560" s="48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  <c r="BL560" s="48"/>
      <c r="BM560" s="48"/>
      <c r="BN560" s="48"/>
      <c r="BO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  <c r="BZ560" s="48"/>
    </row>
    <row r="561" spans="1:78" ht="15.75" x14ac:dyDescent="0.25">
      <c r="A561" s="20"/>
      <c r="B561" s="47"/>
      <c r="C561" s="51"/>
      <c r="D561" s="51"/>
      <c r="E561" s="51"/>
      <c r="F561" s="48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8"/>
      <c r="BK561" s="48"/>
      <c r="BL561" s="48"/>
      <c r="BM561" s="48"/>
      <c r="BN561" s="48"/>
      <c r="BO561" s="48"/>
      <c r="BP561" s="48"/>
      <c r="BQ561" s="48"/>
      <c r="BR561" s="48"/>
      <c r="BS561" s="48"/>
      <c r="BT561" s="48"/>
      <c r="BU561" s="48"/>
      <c r="BV561" s="48"/>
      <c r="BW561" s="48"/>
      <c r="BX561" s="48"/>
      <c r="BY561" s="48"/>
      <c r="BZ561" s="48"/>
    </row>
    <row r="562" spans="1:78" ht="15.75" x14ac:dyDescent="0.25">
      <c r="A562" s="20"/>
      <c r="B562" s="47"/>
      <c r="C562" s="51"/>
      <c r="D562" s="51"/>
      <c r="E562" s="51"/>
      <c r="F562" s="48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48"/>
      <c r="BL562" s="48"/>
      <c r="BM562" s="48"/>
      <c r="BN562" s="48"/>
      <c r="BO562" s="48"/>
      <c r="BP562" s="48"/>
      <c r="BQ562" s="48"/>
      <c r="BR562" s="48"/>
      <c r="BS562" s="48"/>
      <c r="BT562" s="48"/>
      <c r="BU562" s="48"/>
      <c r="BV562" s="48"/>
      <c r="BW562" s="48"/>
      <c r="BX562" s="48"/>
      <c r="BY562" s="48"/>
      <c r="BZ562" s="48"/>
    </row>
    <row r="563" spans="1:78" ht="15.75" x14ac:dyDescent="0.25">
      <c r="A563" s="20"/>
      <c r="B563" s="47"/>
      <c r="C563" s="51"/>
      <c r="D563" s="51"/>
      <c r="E563" s="51"/>
      <c r="F563" s="48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48"/>
      <c r="BL563" s="48"/>
      <c r="BM563" s="48"/>
      <c r="BN563" s="48"/>
      <c r="BO563" s="48"/>
      <c r="BP563" s="48"/>
      <c r="BQ563" s="48"/>
      <c r="BR563" s="48"/>
      <c r="BS563" s="48"/>
      <c r="BT563" s="48"/>
      <c r="BU563" s="48"/>
      <c r="BV563" s="48"/>
      <c r="BW563" s="48"/>
      <c r="BX563" s="48"/>
      <c r="BY563" s="48"/>
      <c r="BZ563" s="48"/>
    </row>
    <row r="564" spans="1:78" ht="15.75" x14ac:dyDescent="0.25">
      <c r="A564" s="20"/>
      <c r="B564" s="47"/>
      <c r="C564" s="51"/>
      <c r="D564" s="51"/>
      <c r="E564" s="51"/>
      <c r="F564" s="48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48"/>
      <c r="BL564" s="48"/>
      <c r="BM564" s="48"/>
      <c r="BN564" s="48"/>
      <c r="BO564" s="48"/>
      <c r="BP564" s="48"/>
      <c r="BQ564" s="48"/>
      <c r="BR564" s="48"/>
      <c r="BS564" s="48"/>
      <c r="BT564" s="48"/>
      <c r="BU564" s="48"/>
      <c r="BV564" s="48"/>
      <c r="BW564" s="48"/>
      <c r="BX564" s="48"/>
      <c r="BY564" s="48"/>
      <c r="BZ564" s="48"/>
    </row>
    <row r="565" spans="1:78" ht="15.75" x14ac:dyDescent="0.25">
      <c r="A565" s="20"/>
      <c r="B565" s="47"/>
      <c r="C565" s="51"/>
      <c r="D565" s="51"/>
      <c r="E565" s="51"/>
      <c r="F565" s="48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48"/>
      <c r="BL565" s="48"/>
      <c r="BM565" s="48"/>
      <c r="BN565" s="48"/>
      <c r="BO565" s="48"/>
      <c r="BP565" s="48"/>
      <c r="BQ565" s="48"/>
      <c r="BR565" s="48"/>
      <c r="BS565" s="48"/>
      <c r="BT565" s="48"/>
      <c r="BU565" s="48"/>
      <c r="BV565" s="48"/>
      <c r="BW565" s="48"/>
      <c r="BX565" s="48"/>
      <c r="BY565" s="48"/>
      <c r="BZ565" s="48"/>
    </row>
    <row r="566" spans="1:78" ht="15.75" x14ac:dyDescent="0.25">
      <c r="A566" s="20"/>
      <c r="B566" s="47"/>
      <c r="C566" s="51"/>
      <c r="D566" s="51"/>
      <c r="E566" s="51"/>
      <c r="F566" s="48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48"/>
      <c r="BL566" s="48"/>
      <c r="BM566" s="48"/>
      <c r="BN566" s="48"/>
      <c r="BO566" s="48"/>
      <c r="BP566" s="48"/>
      <c r="BQ566" s="48"/>
      <c r="BR566" s="48"/>
      <c r="BS566" s="48"/>
      <c r="BT566" s="48"/>
      <c r="BU566" s="48"/>
      <c r="BV566" s="48"/>
      <c r="BW566" s="48"/>
      <c r="BX566" s="48"/>
      <c r="BY566" s="48"/>
      <c r="BZ566" s="48"/>
    </row>
    <row r="567" spans="1:78" ht="15.75" x14ac:dyDescent="0.25">
      <c r="A567" s="20"/>
      <c r="B567" s="47"/>
      <c r="C567" s="51"/>
      <c r="D567" s="51"/>
      <c r="E567" s="51"/>
      <c r="F567" s="48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48"/>
      <c r="BL567" s="48"/>
      <c r="BM567" s="48"/>
      <c r="BN567" s="48"/>
      <c r="BO567" s="48"/>
      <c r="BP567" s="48"/>
      <c r="BQ567" s="48"/>
      <c r="BR567" s="48"/>
      <c r="BS567" s="48"/>
      <c r="BT567" s="48"/>
      <c r="BU567" s="48"/>
      <c r="BV567" s="48"/>
      <c r="BW567" s="48"/>
      <c r="BX567" s="48"/>
      <c r="BY567" s="48"/>
      <c r="BZ567" s="48"/>
    </row>
    <row r="568" spans="1:78" ht="15.75" x14ac:dyDescent="0.25">
      <c r="A568" s="20"/>
      <c r="B568" s="47"/>
      <c r="C568" s="51"/>
      <c r="D568" s="51"/>
      <c r="E568" s="51"/>
      <c r="F568" s="48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48"/>
      <c r="BL568" s="48"/>
      <c r="BM568" s="48"/>
      <c r="BN568" s="48"/>
      <c r="BO568" s="48"/>
      <c r="BP568" s="48"/>
      <c r="BQ568" s="48"/>
      <c r="BR568" s="48"/>
      <c r="BS568" s="48"/>
      <c r="BT568" s="48"/>
      <c r="BU568" s="48"/>
      <c r="BV568" s="48"/>
      <c r="BW568" s="48"/>
      <c r="BX568" s="48"/>
      <c r="BY568" s="48"/>
      <c r="BZ568" s="48"/>
    </row>
    <row r="569" spans="1:78" ht="15.75" x14ac:dyDescent="0.25">
      <c r="A569" s="20"/>
      <c r="B569" s="47"/>
      <c r="C569" s="51"/>
      <c r="D569" s="51"/>
      <c r="E569" s="51"/>
      <c r="F569" s="48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48"/>
      <c r="BL569" s="48"/>
      <c r="BM569" s="48"/>
      <c r="BN569" s="48"/>
      <c r="BO569" s="48"/>
      <c r="BP569" s="48"/>
      <c r="BQ569" s="48"/>
      <c r="BR569" s="48"/>
      <c r="BS569" s="48"/>
      <c r="BT569" s="48"/>
      <c r="BU569" s="48"/>
      <c r="BV569" s="48"/>
      <c r="BW569" s="48"/>
      <c r="BX569" s="48"/>
      <c r="BY569" s="48"/>
      <c r="BZ569" s="48"/>
    </row>
    <row r="570" spans="1:78" ht="15.75" x14ac:dyDescent="0.25">
      <c r="A570" s="20"/>
      <c r="B570" s="47"/>
      <c r="C570" s="51"/>
      <c r="D570" s="51"/>
      <c r="E570" s="51"/>
      <c r="F570" s="48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48"/>
      <c r="BL570" s="48"/>
      <c r="BM570" s="48"/>
      <c r="BN570" s="48"/>
      <c r="BO570" s="48"/>
      <c r="BP570" s="48"/>
      <c r="BQ570" s="48"/>
      <c r="BR570" s="48"/>
      <c r="BS570" s="48"/>
      <c r="BT570" s="48"/>
      <c r="BU570" s="48"/>
      <c r="BV570" s="48"/>
      <c r="BW570" s="48"/>
      <c r="BX570" s="48"/>
      <c r="BY570" s="48"/>
      <c r="BZ570" s="48"/>
    </row>
    <row r="571" spans="1:78" ht="15.75" x14ac:dyDescent="0.25">
      <c r="A571" s="20"/>
      <c r="B571" s="47"/>
      <c r="C571" s="51"/>
      <c r="D571" s="51"/>
      <c r="E571" s="51"/>
      <c r="F571" s="48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48"/>
      <c r="BL571" s="48"/>
      <c r="BM571" s="48"/>
      <c r="BN571" s="48"/>
      <c r="BO571" s="48"/>
      <c r="BP571" s="48"/>
      <c r="BQ571" s="48"/>
      <c r="BR571" s="48"/>
      <c r="BS571" s="48"/>
      <c r="BT571" s="48"/>
      <c r="BU571" s="48"/>
      <c r="BV571" s="48"/>
      <c r="BW571" s="48"/>
      <c r="BX571" s="48"/>
      <c r="BY571" s="48"/>
      <c r="BZ571" s="48"/>
    </row>
    <row r="572" spans="1:78" ht="15.75" x14ac:dyDescent="0.25">
      <c r="A572" s="20"/>
      <c r="B572" s="47"/>
      <c r="C572" s="51"/>
      <c r="D572" s="51"/>
      <c r="E572" s="51"/>
      <c r="F572" s="48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8"/>
      <c r="BK572" s="48"/>
      <c r="BL572" s="48"/>
      <c r="BM572" s="48"/>
      <c r="BN572" s="48"/>
      <c r="BO572" s="48"/>
      <c r="BP572" s="48"/>
      <c r="BQ572" s="48"/>
      <c r="BR572" s="48"/>
      <c r="BS572" s="48"/>
      <c r="BT572" s="48"/>
      <c r="BU572" s="48"/>
      <c r="BV572" s="48"/>
      <c r="BW572" s="48"/>
      <c r="BX572" s="48"/>
      <c r="BY572" s="48"/>
      <c r="BZ572" s="48"/>
    </row>
    <row r="573" spans="1:78" ht="15.75" x14ac:dyDescent="0.25">
      <c r="A573" s="20"/>
      <c r="B573" s="47"/>
      <c r="C573" s="51"/>
      <c r="D573" s="51"/>
      <c r="E573" s="51"/>
      <c r="F573" s="48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8"/>
      <c r="BK573" s="48"/>
      <c r="BL573" s="48"/>
      <c r="BM573" s="48"/>
      <c r="BN573" s="48"/>
      <c r="BO573" s="48"/>
      <c r="BP573" s="48"/>
      <c r="BQ573" s="48"/>
      <c r="BR573" s="48"/>
      <c r="BS573" s="48"/>
      <c r="BT573" s="48"/>
      <c r="BU573" s="48"/>
      <c r="BV573" s="48"/>
      <c r="BW573" s="48"/>
      <c r="BX573" s="48"/>
      <c r="BY573" s="48"/>
      <c r="BZ573" s="48"/>
    </row>
    <row r="574" spans="1:78" ht="15.75" x14ac:dyDescent="0.25">
      <c r="A574" s="20"/>
      <c r="B574" s="47"/>
      <c r="C574" s="51"/>
      <c r="D574" s="51"/>
      <c r="E574" s="51"/>
      <c r="F574" s="48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48"/>
      <c r="BL574" s="48"/>
      <c r="BM574" s="48"/>
      <c r="BN574" s="48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  <c r="BZ574" s="48"/>
    </row>
    <row r="575" spans="1:78" ht="15.75" x14ac:dyDescent="0.25">
      <c r="A575" s="20"/>
      <c r="B575" s="47"/>
      <c r="C575" s="51"/>
      <c r="D575" s="51"/>
      <c r="E575" s="51"/>
      <c r="F575" s="48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8"/>
      <c r="BK575" s="48"/>
      <c r="BL575" s="48"/>
      <c r="BM575" s="48"/>
      <c r="BN575" s="48"/>
      <c r="BO575" s="48"/>
      <c r="BP575" s="48"/>
      <c r="BQ575" s="48"/>
      <c r="BR575" s="48"/>
      <c r="BS575" s="48"/>
      <c r="BT575" s="48"/>
      <c r="BU575" s="48"/>
      <c r="BV575" s="48"/>
      <c r="BW575" s="48"/>
      <c r="BX575" s="48"/>
      <c r="BY575" s="48"/>
      <c r="BZ575" s="48"/>
    </row>
    <row r="576" spans="1:78" ht="15.75" x14ac:dyDescent="0.25">
      <c r="A576" s="20"/>
      <c r="B576" s="47"/>
      <c r="C576" s="51"/>
      <c r="D576" s="51"/>
      <c r="E576" s="51"/>
      <c r="F576" s="48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48"/>
      <c r="BL576" s="48"/>
      <c r="BM576" s="48"/>
      <c r="BN576" s="48"/>
      <c r="BO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  <c r="BZ576" s="48"/>
    </row>
    <row r="577" spans="1:78" ht="15.75" x14ac:dyDescent="0.25">
      <c r="A577" s="20"/>
      <c r="B577" s="47"/>
      <c r="C577" s="51"/>
      <c r="D577" s="51"/>
      <c r="E577" s="51"/>
      <c r="F577" s="48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48"/>
      <c r="BL577" s="48"/>
      <c r="BM577" s="48"/>
      <c r="BN577" s="48"/>
      <c r="BO577" s="48"/>
      <c r="BP577" s="48"/>
      <c r="BQ577" s="48"/>
      <c r="BR577" s="48"/>
      <c r="BS577" s="48"/>
      <c r="BT577" s="48"/>
      <c r="BU577" s="48"/>
      <c r="BV577" s="48"/>
      <c r="BW577" s="48"/>
      <c r="BX577" s="48"/>
      <c r="BY577" s="48"/>
      <c r="BZ577" s="48"/>
    </row>
    <row r="578" spans="1:78" ht="15.75" x14ac:dyDescent="0.25">
      <c r="A578" s="20"/>
      <c r="B578" s="47"/>
      <c r="C578" s="51"/>
      <c r="D578" s="51"/>
      <c r="E578" s="51"/>
      <c r="F578" s="48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48"/>
      <c r="BL578" s="48"/>
      <c r="BM578" s="48"/>
      <c r="BN578" s="48"/>
      <c r="BO578" s="48"/>
      <c r="BP578" s="48"/>
      <c r="BQ578" s="48"/>
      <c r="BR578" s="48"/>
      <c r="BS578" s="48"/>
      <c r="BT578" s="48"/>
      <c r="BU578" s="48"/>
      <c r="BV578" s="48"/>
      <c r="BW578" s="48"/>
      <c r="BX578" s="48"/>
      <c r="BY578" s="48"/>
      <c r="BZ578" s="48"/>
    </row>
    <row r="579" spans="1:78" ht="15.75" x14ac:dyDescent="0.25">
      <c r="A579" s="20"/>
      <c r="B579" s="47"/>
      <c r="C579" s="51"/>
      <c r="D579" s="51"/>
      <c r="E579" s="51"/>
      <c r="F579" s="48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8"/>
      <c r="BK579" s="48"/>
      <c r="BL579" s="48"/>
      <c r="BM579" s="48"/>
      <c r="BN579" s="48"/>
      <c r="BO579" s="48"/>
      <c r="BP579" s="48"/>
      <c r="BQ579" s="48"/>
      <c r="BR579" s="48"/>
      <c r="BS579" s="48"/>
      <c r="BT579" s="48"/>
      <c r="BU579" s="48"/>
      <c r="BV579" s="48"/>
      <c r="BW579" s="48"/>
      <c r="BX579" s="48"/>
      <c r="BY579" s="48"/>
      <c r="BZ579" s="48"/>
    </row>
    <row r="580" spans="1:78" ht="15.75" x14ac:dyDescent="0.25">
      <c r="A580" s="20"/>
      <c r="B580" s="47"/>
      <c r="C580" s="51"/>
      <c r="D580" s="51"/>
      <c r="E580" s="51"/>
      <c r="F580" s="48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</row>
    <row r="581" spans="1:78" ht="15.75" x14ac:dyDescent="0.25">
      <c r="A581" s="20"/>
      <c r="B581" s="47"/>
      <c r="C581" s="51"/>
      <c r="D581" s="51"/>
      <c r="E581" s="51"/>
      <c r="F581" s="48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48"/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  <c r="BZ581" s="48"/>
    </row>
    <row r="582" spans="1:78" ht="15.75" x14ac:dyDescent="0.25">
      <c r="A582" s="20"/>
      <c r="B582" s="47"/>
      <c r="C582" s="51"/>
      <c r="D582" s="51"/>
      <c r="E582" s="51"/>
      <c r="F582" s="48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  <c r="BL582" s="48"/>
      <c r="BM582" s="48"/>
      <c r="BN582" s="48"/>
      <c r="BO582" s="48"/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  <c r="BZ582" s="48"/>
    </row>
    <row r="583" spans="1:78" ht="15.75" x14ac:dyDescent="0.25">
      <c r="A583" s="20"/>
      <c r="B583" s="47"/>
      <c r="C583" s="51"/>
      <c r="D583" s="51"/>
      <c r="E583" s="51"/>
      <c r="F583" s="48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48"/>
      <c r="BL583" s="48"/>
      <c r="BM583" s="48"/>
      <c r="BN583" s="48"/>
      <c r="BO583" s="48"/>
      <c r="BP583" s="48"/>
      <c r="BQ583" s="48"/>
      <c r="BR583" s="48"/>
      <c r="BS583" s="48"/>
      <c r="BT583" s="48"/>
      <c r="BU583" s="48"/>
      <c r="BV583" s="48"/>
      <c r="BW583" s="48"/>
      <c r="BX583" s="48"/>
      <c r="BY583" s="48"/>
      <c r="BZ583" s="48"/>
    </row>
    <row r="584" spans="1:78" ht="15.75" x14ac:dyDescent="0.25">
      <c r="A584" s="20"/>
      <c r="B584" s="47"/>
      <c r="C584" s="51"/>
      <c r="D584" s="51"/>
      <c r="E584" s="51"/>
      <c r="F584" s="48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8"/>
      <c r="BK584" s="48"/>
      <c r="BL584" s="48"/>
      <c r="BM584" s="48"/>
      <c r="BN584" s="48"/>
      <c r="BO584" s="48"/>
      <c r="BP584" s="48"/>
      <c r="BQ584" s="48"/>
      <c r="BR584" s="48"/>
      <c r="BS584" s="48"/>
      <c r="BT584" s="48"/>
      <c r="BU584" s="48"/>
      <c r="BV584" s="48"/>
      <c r="BW584" s="48"/>
      <c r="BX584" s="48"/>
      <c r="BY584" s="48"/>
      <c r="BZ584" s="48"/>
    </row>
    <row r="585" spans="1:78" ht="15.75" x14ac:dyDescent="0.25">
      <c r="A585" s="20"/>
      <c r="B585" s="47"/>
      <c r="C585" s="51"/>
      <c r="D585" s="51"/>
      <c r="E585" s="51"/>
      <c r="F585" s="48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8"/>
      <c r="BK585" s="48"/>
      <c r="BL585" s="48"/>
      <c r="BM585" s="48"/>
      <c r="BN585" s="48"/>
      <c r="BO585" s="48"/>
      <c r="BP585" s="48"/>
      <c r="BQ585" s="48"/>
      <c r="BR585" s="48"/>
      <c r="BS585" s="48"/>
      <c r="BT585" s="48"/>
      <c r="BU585" s="48"/>
      <c r="BV585" s="48"/>
      <c r="BW585" s="48"/>
      <c r="BX585" s="48"/>
      <c r="BY585" s="48"/>
      <c r="BZ585" s="48"/>
    </row>
    <row r="586" spans="1:78" ht="15.75" x14ac:dyDescent="0.25">
      <c r="A586" s="20"/>
      <c r="B586" s="47"/>
      <c r="C586" s="51"/>
      <c r="D586" s="51"/>
      <c r="E586" s="51"/>
      <c r="F586" s="48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48"/>
      <c r="BL586" s="48"/>
      <c r="BM586" s="48"/>
      <c r="BN586" s="48"/>
      <c r="BO586" s="48"/>
      <c r="BP586" s="48"/>
      <c r="BQ586" s="48"/>
      <c r="BR586" s="48"/>
      <c r="BS586" s="48"/>
      <c r="BT586" s="48"/>
      <c r="BU586" s="48"/>
      <c r="BV586" s="48"/>
      <c r="BW586" s="48"/>
      <c r="BX586" s="48"/>
      <c r="BY586" s="48"/>
      <c r="BZ586" s="48"/>
    </row>
    <row r="587" spans="1:78" ht="15.75" x14ac:dyDescent="0.25">
      <c r="A587" s="20"/>
      <c r="B587" s="47"/>
      <c r="C587" s="51"/>
      <c r="D587" s="51"/>
      <c r="E587" s="51"/>
      <c r="F587" s="48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8"/>
      <c r="BK587" s="48"/>
      <c r="BL587" s="48"/>
      <c r="BM587" s="48"/>
      <c r="BN587" s="48"/>
      <c r="BO587" s="48"/>
      <c r="BP587" s="48"/>
      <c r="BQ587" s="48"/>
      <c r="BR587" s="48"/>
      <c r="BS587" s="48"/>
      <c r="BT587" s="48"/>
      <c r="BU587" s="48"/>
      <c r="BV587" s="48"/>
      <c r="BW587" s="48"/>
      <c r="BX587" s="48"/>
      <c r="BY587" s="48"/>
      <c r="BZ587" s="48"/>
    </row>
    <row r="588" spans="1:78" ht="15.75" x14ac:dyDescent="0.25">
      <c r="A588" s="20"/>
      <c r="B588" s="47"/>
      <c r="C588" s="51"/>
      <c r="D588" s="51"/>
      <c r="E588" s="51"/>
      <c r="F588" s="48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48"/>
      <c r="BL588" s="48"/>
      <c r="BM588" s="48"/>
      <c r="BN588" s="48"/>
      <c r="BO588" s="48"/>
      <c r="BP588" s="48"/>
      <c r="BQ588" s="48"/>
      <c r="BR588" s="48"/>
      <c r="BS588" s="48"/>
      <c r="BT588" s="48"/>
      <c r="BU588" s="48"/>
      <c r="BV588" s="48"/>
      <c r="BW588" s="48"/>
      <c r="BX588" s="48"/>
      <c r="BY588" s="48"/>
      <c r="BZ588" s="48"/>
    </row>
    <row r="589" spans="1:78" ht="15.75" x14ac:dyDescent="0.25">
      <c r="A589" s="20"/>
      <c r="B589" s="47"/>
      <c r="C589" s="51"/>
      <c r="D589" s="51"/>
      <c r="E589" s="51"/>
      <c r="F589" s="48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48"/>
      <c r="BL589" s="48"/>
      <c r="BM589" s="48"/>
      <c r="BN589" s="48"/>
      <c r="BO589" s="48"/>
      <c r="BP589" s="48"/>
      <c r="BQ589" s="48"/>
      <c r="BR589" s="48"/>
      <c r="BS589" s="48"/>
      <c r="BT589" s="48"/>
      <c r="BU589" s="48"/>
      <c r="BV589" s="48"/>
      <c r="BW589" s="48"/>
      <c r="BX589" s="48"/>
      <c r="BY589" s="48"/>
      <c r="BZ589" s="48"/>
    </row>
    <row r="590" spans="1:78" ht="15.75" x14ac:dyDescent="0.25">
      <c r="A590" s="20"/>
      <c r="B590" s="47"/>
      <c r="C590" s="51"/>
      <c r="D590" s="51"/>
      <c r="E590" s="51"/>
      <c r="F590" s="48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48"/>
      <c r="BL590" s="48"/>
      <c r="BM590" s="48"/>
      <c r="BN590" s="48"/>
      <c r="BO590" s="48"/>
      <c r="BP590" s="48"/>
      <c r="BQ590" s="48"/>
      <c r="BR590" s="48"/>
      <c r="BS590" s="48"/>
      <c r="BT590" s="48"/>
      <c r="BU590" s="48"/>
      <c r="BV590" s="48"/>
      <c r="BW590" s="48"/>
      <c r="BX590" s="48"/>
      <c r="BY590" s="48"/>
      <c r="BZ590" s="48"/>
    </row>
    <row r="591" spans="1:78" ht="15.75" x14ac:dyDescent="0.25">
      <c r="A591" s="20"/>
      <c r="B591" s="47"/>
      <c r="C591" s="51"/>
      <c r="D591" s="51"/>
      <c r="E591" s="51"/>
      <c r="F591" s="48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8"/>
      <c r="BK591" s="48"/>
      <c r="BL591" s="48"/>
      <c r="BM591" s="48"/>
      <c r="BN591" s="48"/>
      <c r="BO591" s="48"/>
      <c r="BP591" s="48"/>
      <c r="BQ591" s="48"/>
      <c r="BR591" s="48"/>
      <c r="BS591" s="48"/>
      <c r="BT591" s="48"/>
      <c r="BU591" s="48"/>
      <c r="BV591" s="48"/>
      <c r="BW591" s="48"/>
      <c r="BX591" s="48"/>
      <c r="BY591" s="48"/>
      <c r="BZ591" s="48"/>
    </row>
    <row r="592" spans="1:78" ht="15.75" x14ac:dyDescent="0.25">
      <c r="A592" s="20"/>
      <c r="B592" s="47"/>
      <c r="C592" s="51"/>
      <c r="D592" s="51"/>
      <c r="E592" s="51"/>
      <c r="F592" s="48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48"/>
      <c r="BL592" s="48"/>
      <c r="BM592" s="48"/>
      <c r="BN592" s="48"/>
      <c r="BO592" s="48"/>
      <c r="BP592" s="48"/>
      <c r="BQ592" s="48"/>
      <c r="BR592" s="48"/>
      <c r="BS592" s="48"/>
      <c r="BT592" s="48"/>
      <c r="BU592" s="48"/>
      <c r="BV592" s="48"/>
      <c r="BW592" s="48"/>
      <c r="BX592" s="48"/>
      <c r="BY592" s="48"/>
      <c r="BZ592" s="48"/>
    </row>
    <row r="593" spans="1:78" ht="15.75" x14ac:dyDescent="0.25">
      <c r="A593" s="20"/>
      <c r="B593" s="47"/>
      <c r="C593" s="51"/>
      <c r="D593" s="51"/>
      <c r="E593" s="51"/>
      <c r="F593" s="48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8"/>
      <c r="BK593" s="48"/>
      <c r="BL593" s="48"/>
      <c r="BM593" s="48"/>
      <c r="BN593" s="48"/>
      <c r="BO593" s="48"/>
      <c r="BP593" s="48"/>
      <c r="BQ593" s="48"/>
      <c r="BR593" s="48"/>
      <c r="BS593" s="48"/>
      <c r="BT593" s="48"/>
      <c r="BU593" s="48"/>
      <c r="BV593" s="48"/>
      <c r="BW593" s="48"/>
      <c r="BX593" s="48"/>
      <c r="BY593" s="48"/>
      <c r="BZ593" s="48"/>
    </row>
    <row r="594" spans="1:78" ht="15.75" x14ac:dyDescent="0.25">
      <c r="A594" s="20"/>
      <c r="B594" s="47"/>
      <c r="C594" s="51"/>
      <c r="D594" s="51"/>
      <c r="E594" s="51"/>
      <c r="F594" s="48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48"/>
      <c r="BL594" s="48"/>
      <c r="BM594" s="48"/>
      <c r="BN594" s="48"/>
      <c r="BO594" s="48"/>
      <c r="BP594" s="48"/>
      <c r="BQ594" s="48"/>
      <c r="BR594" s="48"/>
      <c r="BS594" s="48"/>
      <c r="BT594" s="48"/>
      <c r="BU594" s="48"/>
      <c r="BV594" s="48"/>
      <c r="BW594" s="48"/>
      <c r="BX594" s="48"/>
      <c r="BY594" s="48"/>
      <c r="BZ594" s="48"/>
    </row>
    <row r="595" spans="1:78" ht="15.75" x14ac:dyDescent="0.25">
      <c r="A595" s="20"/>
      <c r="B595" s="47"/>
      <c r="C595" s="51"/>
      <c r="D595" s="51"/>
      <c r="E595" s="51"/>
      <c r="F595" s="48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48"/>
      <c r="BL595" s="48"/>
      <c r="BM595" s="48"/>
      <c r="BN595" s="48"/>
      <c r="BO595" s="48"/>
      <c r="BP595" s="48"/>
      <c r="BQ595" s="48"/>
      <c r="BR595" s="48"/>
      <c r="BS595" s="48"/>
      <c r="BT595" s="48"/>
      <c r="BU595" s="48"/>
      <c r="BV595" s="48"/>
      <c r="BW595" s="48"/>
      <c r="BX595" s="48"/>
      <c r="BY595" s="48"/>
      <c r="BZ595" s="48"/>
    </row>
    <row r="596" spans="1:78" ht="15.75" x14ac:dyDescent="0.25">
      <c r="A596" s="20"/>
      <c r="B596" s="47"/>
      <c r="C596" s="51"/>
      <c r="D596" s="51"/>
      <c r="E596" s="51"/>
      <c r="F596" s="48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48"/>
      <c r="BL596" s="48"/>
      <c r="BM596" s="48"/>
      <c r="BN596" s="48"/>
      <c r="BO596" s="48"/>
      <c r="BP596" s="48"/>
      <c r="BQ596" s="48"/>
      <c r="BR596" s="48"/>
      <c r="BS596" s="48"/>
      <c r="BT596" s="48"/>
      <c r="BU596" s="48"/>
      <c r="BV596" s="48"/>
      <c r="BW596" s="48"/>
      <c r="BX596" s="48"/>
      <c r="BY596" s="48"/>
      <c r="BZ596" s="48"/>
    </row>
    <row r="597" spans="1:78" ht="15.75" x14ac:dyDescent="0.25">
      <c r="A597" s="20"/>
      <c r="B597" s="47"/>
      <c r="C597" s="51"/>
      <c r="D597" s="51"/>
      <c r="E597" s="51"/>
      <c r="F597" s="48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8"/>
      <c r="BK597" s="48"/>
      <c r="BL597" s="48"/>
      <c r="BM597" s="48"/>
      <c r="BN597" s="48"/>
      <c r="BO597" s="48"/>
      <c r="BP597" s="48"/>
      <c r="BQ597" s="48"/>
      <c r="BR597" s="48"/>
      <c r="BS597" s="48"/>
      <c r="BT597" s="48"/>
      <c r="BU597" s="48"/>
      <c r="BV597" s="48"/>
      <c r="BW597" s="48"/>
      <c r="BX597" s="48"/>
      <c r="BY597" s="48"/>
      <c r="BZ597" s="48"/>
    </row>
    <row r="598" spans="1:78" ht="15.75" x14ac:dyDescent="0.25">
      <c r="A598" s="20"/>
      <c r="B598" s="47"/>
      <c r="C598" s="51"/>
      <c r="D598" s="51"/>
      <c r="E598" s="51"/>
      <c r="F598" s="48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48"/>
      <c r="BL598" s="48"/>
      <c r="BM598" s="48"/>
      <c r="BN598" s="48"/>
      <c r="BO598" s="48"/>
      <c r="BP598" s="48"/>
      <c r="BQ598" s="48"/>
      <c r="BR598" s="48"/>
      <c r="BS598" s="48"/>
      <c r="BT598" s="48"/>
      <c r="BU598" s="48"/>
      <c r="BV598" s="48"/>
      <c r="BW598" s="48"/>
      <c r="BX598" s="48"/>
      <c r="BY598" s="48"/>
      <c r="BZ598" s="48"/>
    </row>
    <row r="599" spans="1:78" ht="15.75" x14ac:dyDescent="0.25">
      <c r="A599" s="20"/>
      <c r="B599" s="47"/>
      <c r="C599" s="51"/>
      <c r="D599" s="51"/>
      <c r="E599" s="51"/>
      <c r="F599" s="48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8"/>
      <c r="BK599" s="48"/>
      <c r="BL599" s="48"/>
      <c r="BM599" s="48"/>
      <c r="BN599" s="48"/>
      <c r="BO599" s="48"/>
      <c r="BP599" s="48"/>
      <c r="BQ599" s="48"/>
      <c r="BR599" s="48"/>
      <c r="BS599" s="48"/>
      <c r="BT599" s="48"/>
      <c r="BU599" s="48"/>
      <c r="BV599" s="48"/>
      <c r="BW599" s="48"/>
      <c r="BX599" s="48"/>
      <c r="BY599" s="48"/>
      <c r="BZ599" s="48"/>
    </row>
    <row r="600" spans="1:78" ht="15.75" x14ac:dyDescent="0.25">
      <c r="A600" s="20"/>
      <c r="B600" s="47"/>
      <c r="C600" s="51"/>
      <c r="D600" s="51"/>
      <c r="E600" s="51"/>
      <c r="F600" s="48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48"/>
      <c r="BL600" s="48"/>
      <c r="BM600" s="48"/>
      <c r="BN600" s="48"/>
      <c r="BO600" s="48"/>
      <c r="BP600" s="48"/>
      <c r="BQ600" s="48"/>
      <c r="BR600" s="48"/>
      <c r="BS600" s="48"/>
      <c r="BT600" s="48"/>
      <c r="BU600" s="48"/>
      <c r="BV600" s="48"/>
      <c r="BW600" s="48"/>
      <c r="BX600" s="48"/>
      <c r="BY600" s="48"/>
      <c r="BZ600" s="48"/>
    </row>
    <row r="601" spans="1:78" ht="15.75" x14ac:dyDescent="0.25">
      <c r="A601" s="20"/>
      <c r="B601" s="47"/>
      <c r="C601" s="51"/>
      <c r="D601" s="51"/>
      <c r="E601" s="51"/>
      <c r="F601" s="48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8"/>
      <c r="BK601" s="48"/>
      <c r="BL601" s="48"/>
      <c r="BM601" s="48"/>
      <c r="BN601" s="48"/>
      <c r="BO601" s="48"/>
      <c r="BP601" s="48"/>
      <c r="BQ601" s="48"/>
      <c r="BR601" s="48"/>
      <c r="BS601" s="48"/>
      <c r="BT601" s="48"/>
      <c r="BU601" s="48"/>
      <c r="BV601" s="48"/>
      <c r="BW601" s="48"/>
      <c r="BX601" s="48"/>
      <c r="BY601" s="48"/>
      <c r="BZ601" s="48"/>
    </row>
    <row r="602" spans="1:78" ht="15.75" x14ac:dyDescent="0.25">
      <c r="A602" s="20"/>
      <c r="B602" s="47"/>
      <c r="C602" s="51"/>
      <c r="D602" s="51"/>
      <c r="E602" s="51"/>
      <c r="F602" s="48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8"/>
      <c r="BK602" s="48"/>
      <c r="BL602" s="48"/>
      <c r="BM602" s="48"/>
      <c r="BN602" s="48"/>
      <c r="BO602" s="48"/>
      <c r="BP602" s="48"/>
      <c r="BQ602" s="48"/>
      <c r="BR602" s="48"/>
      <c r="BS602" s="48"/>
      <c r="BT602" s="48"/>
      <c r="BU602" s="48"/>
      <c r="BV602" s="48"/>
      <c r="BW602" s="48"/>
      <c r="BX602" s="48"/>
      <c r="BY602" s="48"/>
      <c r="BZ602" s="48"/>
    </row>
    <row r="603" spans="1:78" ht="15.75" x14ac:dyDescent="0.25">
      <c r="A603" s="20"/>
      <c r="B603" s="47"/>
      <c r="C603" s="51"/>
      <c r="D603" s="51"/>
      <c r="E603" s="51"/>
      <c r="F603" s="48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8"/>
      <c r="BK603" s="48"/>
      <c r="BL603" s="48"/>
      <c r="BM603" s="48"/>
      <c r="BN603" s="48"/>
      <c r="BO603" s="48"/>
      <c r="BP603" s="48"/>
      <c r="BQ603" s="48"/>
      <c r="BR603" s="48"/>
      <c r="BS603" s="48"/>
      <c r="BT603" s="48"/>
      <c r="BU603" s="48"/>
      <c r="BV603" s="48"/>
      <c r="BW603" s="48"/>
      <c r="BX603" s="48"/>
      <c r="BY603" s="48"/>
      <c r="BZ603" s="48"/>
    </row>
    <row r="604" spans="1:78" ht="15.75" x14ac:dyDescent="0.25">
      <c r="A604" s="20"/>
      <c r="B604" s="47"/>
      <c r="C604" s="51"/>
      <c r="D604" s="51"/>
      <c r="E604" s="51"/>
      <c r="F604" s="48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48"/>
      <c r="BL604" s="48"/>
      <c r="BM604" s="48"/>
      <c r="BN604" s="48"/>
      <c r="BO604" s="48"/>
      <c r="BP604" s="48"/>
      <c r="BQ604" s="48"/>
      <c r="BR604" s="48"/>
      <c r="BS604" s="48"/>
      <c r="BT604" s="48"/>
      <c r="BU604" s="48"/>
      <c r="BV604" s="48"/>
      <c r="BW604" s="48"/>
      <c r="BX604" s="48"/>
      <c r="BY604" s="48"/>
      <c r="BZ604" s="48"/>
    </row>
    <row r="605" spans="1:78" ht="15.75" x14ac:dyDescent="0.25">
      <c r="A605" s="20"/>
      <c r="B605" s="47"/>
      <c r="C605" s="51"/>
      <c r="D605" s="51"/>
      <c r="E605" s="51"/>
      <c r="F605" s="48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8"/>
      <c r="BK605" s="48"/>
      <c r="BL605" s="48"/>
      <c r="BM605" s="48"/>
      <c r="BN605" s="48"/>
      <c r="BO605" s="48"/>
      <c r="BP605" s="48"/>
      <c r="BQ605" s="48"/>
      <c r="BR605" s="48"/>
      <c r="BS605" s="48"/>
      <c r="BT605" s="48"/>
      <c r="BU605" s="48"/>
      <c r="BV605" s="48"/>
      <c r="BW605" s="48"/>
      <c r="BX605" s="48"/>
      <c r="BY605" s="48"/>
      <c r="BZ605" s="48"/>
    </row>
    <row r="606" spans="1:78" ht="15.75" x14ac:dyDescent="0.25">
      <c r="A606" s="20"/>
      <c r="B606" s="47"/>
      <c r="C606" s="51"/>
      <c r="D606" s="51"/>
      <c r="E606" s="51"/>
      <c r="F606" s="48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48"/>
      <c r="BL606" s="48"/>
      <c r="BM606" s="48"/>
      <c r="BN606" s="48"/>
      <c r="BO606" s="48"/>
      <c r="BP606" s="48"/>
      <c r="BQ606" s="48"/>
      <c r="BR606" s="48"/>
      <c r="BS606" s="48"/>
      <c r="BT606" s="48"/>
      <c r="BU606" s="48"/>
      <c r="BV606" s="48"/>
      <c r="BW606" s="48"/>
      <c r="BX606" s="48"/>
      <c r="BY606" s="48"/>
      <c r="BZ606" s="48"/>
    </row>
    <row r="607" spans="1:78" ht="15.75" x14ac:dyDescent="0.25">
      <c r="A607" s="20"/>
      <c r="B607" s="47"/>
      <c r="C607" s="51"/>
      <c r="D607" s="51"/>
      <c r="E607" s="51"/>
      <c r="F607" s="48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48"/>
      <c r="BL607" s="48"/>
      <c r="BM607" s="48"/>
      <c r="BN607" s="48"/>
      <c r="BO607" s="48"/>
      <c r="BP607" s="48"/>
      <c r="BQ607" s="48"/>
      <c r="BR607" s="48"/>
      <c r="BS607" s="48"/>
      <c r="BT607" s="48"/>
      <c r="BU607" s="48"/>
      <c r="BV607" s="48"/>
      <c r="BW607" s="48"/>
      <c r="BX607" s="48"/>
      <c r="BY607" s="48"/>
      <c r="BZ607" s="48"/>
    </row>
    <row r="608" spans="1:78" ht="15.75" x14ac:dyDescent="0.25">
      <c r="A608" s="20"/>
      <c r="B608" s="47"/>
      <c r="C608" s="51"/>
      <c r="D608" s="51"/>
      <c r="E608" s="51"/>
      <c r="F608" s="48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8"/>
      <c r="BK608" s="48"/>
      <c r="BL608" s="48"/>
      <c r="BM608" s="48"/>
      <c r="BN608" s="48"/>
      <c r="BO608" s="48"/>
      <c r="BP608" s="48"/>
      <c r="BQ608" s="48"/>
      <c r="BR608" s="48"/>
      <c r="BS608" s="48"/>
      <c r="BT608" s="48"/>
      <c r="BU608" s="48"/>
      <c r="BV608" s="48"/>
      <c r="BW608" s="48"/>
      <c r="BX608" s="48"/>
      <c r="BY608" s="48"/>
      <c r="BZ608" s="48"/>
    </row>
    <row r="609" spans="1:78" ht="15.75" x14ac:dyDescent="0.25">
      <c r="A609" s="20"/>
      <c r="B609" s="47"/>
      <c r="C609" s="51"/>
      <c r="D609" s="51"/>
      <c r="E609" s="51"/>
      <c r="F609" s="48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8"/>
      <c r="BK609" s="48"/>
      <c r="BL609" s="48"/>
      <c r="BM609" s="48"/>
      <c r="BN609" s="48"/>
      <c r="BO609" s="48"/>
      <c r="BP609" s="48"/>
      <c r="BQ609" s="48"/>
      <c r="BR609" s="48"/>
      <c r="BS609" s="48"/>
      <c r="BT609" s="48"/>
      <c r="BU609" s="48"/>
      <c r="BV609" s="48"/>
      <c r="BW609" s="48"/>
      <c r="BX609" s="48"/>
      <c r="BY609" s="48"/>
      <c r="BZ609" s="48"/>
    </row>
    <row r="610" spans="1:78" ht="15.75" x14ac:dyDescent="0.25">
      <c r="A610" s="20"/>
      <c r="B610" s="47"/>
      <c r="C610" s="51"/>
      <c r="D610" s="51"/>
      <c r="E610" s="51"/>
      <c r="F610" s="48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48"/>
      <c r="BL610" s="48"/>
      <c r="BM610" s="48"/>
      <c r="BN610" s="48"/>
      <c r="BO610" s="48"/>
      <c r="BP610" s="48"/>
      <c r="BQ610" s="48"/>
      <c r="BR610" s="48"/>
      <c r="BS610" s="48"/>
      <c r="BT610" s="48"/>
      <c r="BU610" s="48"/>
      <c r="BV610" s="48"/>
      <c r="BW610" s="48"/>
      <c r="BX610" s="48"/>
      <c r="BY610" s="48"/>
      <c r="BZ610" s="48"/>
    </row>
    <row r="611" spans="1:78" ht="15.75" x14ac:dyDescent="0.25">
      <c r="A611" s="20"/>
      <c r="B611" s="47"/>
      <c r="C611" s="51"/>
      <c r="D611" s="51"/>
      <c r="E611" s="51"/>
      <c r="F611" s="48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8"/>
      <c r="BK611" s="48"/>
      <c r="BL611" s="48"/>
      <c r="BM611" s="48"/>
      <c r="BN611" s="48"/>
      <c r="BO611" s="48"/>
      <c r="BP611" s="48"/>
      <c r="BQ611" s="48"/>
      <c r="BR611" s="48"/>
      <c r="BS611" s="48"/>
      <c r="BT611" s="48"/>
      <c r="BU611" s="48"/>
      <c r="BV611" s="48"/>
      <c r="BW611" s="48"/>
      <c r="BX611" s="48"/>
      <c r="BY611" s="48"/>
      <c r="BZ611" s="48"/>
    </row>
    <row r="612" spans="1:78" ht="15.75" x14ac:dyDescent="0.25">
      <c r="A612" s="20"/>
      <c r="B612" s="47"/>
      <c r="C612" s="51"/>
      <c r="D612" s="51"/>
      <c r="E612" s="51"/>
      <c r="F612" s="48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8"/>
      <c r="BK612" s="48"/>
      <c r="BL612" s="48"/>
      <c r="BM612" s="48"/>
      <c r="BN612" s="48"/>
      <c r="BO612" s="48"/>
      <c r="BP612" s="48"/>
      <c r="BQ612" s="48"/>
      <c r="BR612" s="48"/>
      <c r="BS612" s="48"/>
      <c r="BT612" s="48"/>
      <c r="BU612" s="48"/>
      <c r="BV612" s="48"/>
      <c r="BW612" s="48"/>
      <c r="BX612" s="48"/>
      <c r="BY612" s="48"/>
      <c r="BZ612" s="48"/>
    </row>
    <row r="613" spans="1:78" ht="15.75" x14ac:dyDescent="0.25">
      <c r="A613" s="20"/>
      <c r="B613" s="47"/>
      <c r="C613" s="51"/>
      <c r="D613" s="51"/>
      <c r="E613" s="51"/>
      <c r="F613" s="48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8"/>
      <c r="BK613" s="48"/>
      <c r="BL613" s="48"/>
      <c r="BM613" s="48"/>
      <c r="BN613" s="48"/>
      <c r="BO613" s="48"/>
      <c r="BP613" s="48"/>
      <c r="BQ613" s="48"/>
      <c r="BR613" s="48"/>
      <c r="BS613" s="48"/>
      <c r="BT613" s="48"/>
      <c r="BU613" s="48"/>
      <c r="BV613" s="48"/>
      <c r="BW613" s="48"/>
      <c r="BX613" s="48"/>
      <c r="BY613" s="48"/>
      <c r="BZ613" s="48"/>
    </row>
    <row r="614" spans="1:78" ht="15.75" x14ac:dyDescent="0.25">
      <c r="A614" s="20"/>
      <c r="B614" s="47"/>
      <c r="C614" s="51"/>
      <c r="D614" s="51"/>
      <c r="E614" s="51"/>
      <c r="F614" s="48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8"/>
      <c r="BK614" s="48"/>
      <c r="BL614" s="48"/>
      <c r="BM614" s="48"/>
      <c r="BN614" s="48"/>
      <c r="BO614" s="48"/>
      <c r="BP614" s="48"/>
      <c r="BQ614" s="48"/>
      <c r="BR614" s="48"/>
      <c r="BS614" s="48"/>
      <c r="BT614" s="48"/>
      <c r="BU614" s="48"/>
      <c r="BV614" s="48"/>
      <c r="BW614" s="48"/>
      <c r="BX614" s="48"/>
      <c r="BY614" s="48"/>
      <c r="BZ614" s="48"/>
    </row>
    <row r="615" spans="1:78" ht="15.75" x14ac:dyDescent="0.25">
      <c r="A615" s="20"/>
      <c r="B615" s="47"/>
      <c r="C615" s="51"/>
      <c r="D615" s="51"/>
      <c r="E615" s="51"/>
      <c r="F615" s="48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8"/>
      <c r="BK615" s="48"/>
      <c r="BL615" s="48"/>
      <c r="BM615" s="48"/>
      <c r="BN615" s="48"/>
      <c r="BO615" s="48"/>
      <c r="BP615" s="48"/>
      <c r="BQ615" s="48"/>
      <c r="BR615" s="48"/>
      <c r="BS615" s="48"/>
      <c r="BT615" s="48"/>
      <c r="BU615" s="48"/>
      <c r="BV615" s="48"/>
      <c r="BW615" s="48"/>
      <c r="BX615" s="48"/>
      <c r="BY615" s="48"/>
      <c r="BZ615" s="48"/>
    </row>
    <row r="616" spans="1:78" ht="15.75" x14ac:dyDescent="0.25">
      <c r="A616" s="20"/>
      <c r="B616" s="47"/>
      <c r="C616" s="51"/>
      <c r="D616" s="51"/>
      <c r="E616" s="51"/>
      <c r="F616" s="48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48"/>
      <c r="BL616" s="48"/>
      <c r="BM616" s="48"/>
      <c r="BN616" s="48"/>
      <c r="BO616" s="48"/>
      <c r="BP616" s="48"/>
      <c r="BQ616" s="48"/>
      <c r="BR616" s="48"/>
      <c r="BS616" s="48"/>
      <c r="BT616" s="48"/>
      <c r="BU616" s="48"/>
      <c r="BV616" s="48"/>
      <c r="BW616" s="48"/>
      <c r="BX616" s="48"/>
      <c r="BY616" s="48"/>
      <c r="BZ616" s="48"/>
    </row>
    <row r="617" spans="1:78" ht="15.75" x14ac:dyDescent="0.25">
      <c r="A617" s="20"/>
      <c r="B617" s="47"/>
      <c r="C617" s="51"/>
      <c r="D617" s="51"/>
      <c r="E617" s="51"/>
      <c r="F617" s="48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8"/>
      <c r="BK617" s="48"/>
      <c r="BL617" s="48"/>
      <c r="BM617" s="48"/>
      <c r="BN617" s="48"/>
      <c r="BO617" s="48"/>
      <c r="BP617" s="48"/>
      <c r="BQ617" s="48"/>
      <c r="BR617" s="48"/>
      <c r="BS617" s="48"/>
      <c r="BT617" s="48"/>
      <c r="BU617" s="48"/>
      <c r="BV617" s="48"/>
      <c r="BW617" s="48"/>
      <c r="BX617" s="48"/>
      <c r="BY617" s="48"/>
      <c r="BZ617" s="48"/>
    </row>
    <row r="618" spans="1:78" ht="15.75" x14ac:dyDescent="0.25">
      <c r="A618" s="20"/>
      <c r="B618" s="47"/>
      <c r="C618" s="51"/>
      <c r="D618" s="51"/>
      <c r="E618" s="51"/>
      <c r="F618" s="48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8"/>
      <c r="BK618" s="48"/>
      <c r="BL618" s="48"/>
      <c r="BM618" s="48"/>
      <c r="BN618" s="48"/>
      <c r="BO618" s="48"/>
      <c r="BP618" s="48"/>
      <c r="BQ618" s="48"/>
      <c r="BR618" s="48"/>
      <c r="BS618" s="48"/>
      <c r="BT618" s="48"/>
      <c r="BU618" s="48"/>
      <c r="BV618" s="48"/>
      <c r="BW618" s="48"/>
      <c r="BX618" s="48"/>
      <c r="BY618" s="48"/>
      <c r="BZ618" s="48"/>
    </row>
    <row r="619" spans="1:78" ht="15.75" x14ac:dyDescent="0.25">
      <c r="A619" s="20"/>
      <c r="B619" s="47"/>
      <c r="C619" s="51"/>
      <c r="D619" s="51"/>
      <c r="E619" s="51"/>
      <c r="F619" s="48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8"/>
      <c r="BK619" s="48"/>
      <c r="BL619" s="48"/>
      <c r="BM619" s="48"/>
      <c r="BN619" s="48"/>
      <c r="BO619" s="48"/>
      <c r="BP619" s="48"/>
      <c r="BQ619" s="48"/>
      <c r="BR619" s="48"/>
      <c r="BS619" s="48"/>
      <c r="BT619" s="48"/>
      <c r="BU619" s="48"/>
      <c r="BV619" s="48"/>
      <c r="BW619" s="48"/>
      <c r="BX619" s="48"/>
      <c r="BY619" s="48"/>
      <c r="BZ619" s="48"/>
    </row>
    <row r="620" spans="1:78" ht="15.75" x14ac:dyDescent="0.25">
      <c r="A620" s="20"/>
      <c r="B620" s="47"/>
      <c r="C620" s="51"/>
      <c r="D620" s="51"/>
      <c r="E620" s="51"/>
      <c r="F620" s="48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8"/>
      <c r="BK620" s="48"/>
      <c r="BL620" s="48"/>
      <c r="BM620" s="48"/>
      <c r="BN620" s="48"/>
      <c r="BO620" s="48"/>
      <c r="BP620" s="48"/>
      <c r="BQ620" s="48"/>
      <c r="BR620" s="48"/>
      <c r="BS620" s="48"/>
      <c r="BT620" s="48"/>
      <c r="BU620" s="48"/>
      <c r="BV620" s="48"/>
      <c r="BW620" s="48"/>
      <c r="BX620" s="48"/>
      <c r="BY620" s="48"/>
      <c r="BZ620" s="48"/>
    </row>
    <row r="621" spans="1:78" ht="15.75" x14ac:dyDescent="0.25">
      <c r="A621" s="20"/>
      <c r="B621" s="47"/>
      <c r="C621" s="51"/>
      <c r="D621" s="51"/>
      <c r="E621" s="51"/>
      <c r="F621" s="48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8"/>
      <c r="BK621" s="48"/>
      <c r="BL621" s="48"/>
      <c r="BM621" s="48"/>
      <c r="BN621" s="48"/>
      <c r="BO621" s="48"/>
      <c r="BP621" s="48"/>
      <c r="BQ621" s="48"/>
      <c r="BR621" s="48"/>
      <c r="BS621" s="48"/>
      <c r="BT621" s="48"/>
      <c r="BU621" s="48"/>
      <c r="BV621" s="48"/>
      <c r="BW621" s="48"/>
      <c r="BX621" s="48"/>
      <c r="BY621" s="48"/>
      <c r="BZ621" s="48"/>
    </row>
    <row r="622" spans="1:78" ht="15.75" x14ac:dyDescent="0.25">
      <c r="A622" s="20"/>
      <c r="B622" s="47"/>
      <c r="C622" s="51"/>
      <c r="D622" s="51"/>
      <c r="E622" s="51"/>
      <c r="F622" s="48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  <c r="BL622" s="48"/>
      <c r="BM622" s="48"/>
      <c r="BN622" s="48"/>
      <c r="BO622" s="48"/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48"/>
    </row>
    <row r="623" spans="1:78" ht="15.75" x14ac:dyDescent="0.25">
      <c r="A623" s="20"/>
      <c r="B623" s="47"/>
      <c r="C623" s="51"/>
      <c r="D623" s="51"/>
      <c r="E623" s="51"/>
      <c r="F623" s="48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8"/>
      <c r="BK623" s="48"/>
      <c r="BL623" s="48"/>
      <c r="BM623" s="48"/>
      <c r="BN623" s="48"/>
      <c r="BO623" s="48"/>
      <c r="BP623" s="48"/>
      <c r="BQ623" s="48"/>
      <c r="BR623" s="48"/>
      <c r="BS623" s="48"/>
      <c r="BT623" s="48"/>
      <c r="BU623" s="48"/>
      <c r="BV623" s="48"/>
      <c r="BW623" s="48"/>
      <c r="BX623" s="48"/>
      <c r="BY623" s="48"/>
      <c r="BZ623" s="48"/>
    </row>
    <row r="624" spans="1:78" ht="15.75" x14ac:dyDescent="0.25">
      <c r="A624" s="20"/>
      <c r="B624" s="47"/>
      <c r="C624" s="51"/>
      <c r="D624" s="51"/>
      <c r="E624" s="51"/>
      <c r="F624" s="48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48"/>
      <c r="BL624" s="48"/>
      <c r="BM624" s="48"/>
      <c r="BN624" s="48"/>
      <c r="BO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  <c r="BZ624" s="48"/>
    </row>
    <row r="625" spans="1:78" ht="15.75" x14ac:dyDescent="0.25">
      <c r="A625" s="20"/>
      <c r="B625" s="47"/>
      <c r="C625" s="51"/>
      <c r="D625" s="51"/>
      <c r="E625" s="51"/>
      <c r="F625" s="48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48"/>
      <c r="BL625" s="48"/>
      <c r="BM625" s="48"/>
      <c r="BN625" s="48"/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  <c r="BZ625" s="48"/>
    </row>
    <row r="626" spans="1:78" ht="15.75" x14ac:dyDescent="0.25">
      <c r="A626" s="20"/>
      <c r="B626" s="47"/>
      <c r="C626" s="51"/>
      <c r="D626" s="51"/>
      <c r="E626" s="51"/>
      <c r="F626" s="48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8"/>
      <c r="BK626" s="48"/>
      <c r="BL626" s="48"/>
      <c r="BM626" s="48"/>
      <c r="BN626" s="48"/>
      <c r="BO626" s="48"/>
      <c r="BP626" s="48"/>
      <c r="BQ626" s="48"/>
      <c r="BR626" s="48"/>
      <c r="BS626" s="48"/>
      <c r="BT626" s="48"/>
      <c r="BU626" s="48"/>
      <c r="BV626" s="48"/>
      <c r="BW626" s="48"/>
      <c r="BX626" s="48"/>
      <c r="BY626" s="48"/>
      <c r="BZ626" s="48"/>
    </row>
    <row r="627" spans="1:78" ht="15.75" x14ac:dyDescent="0.25">
      <c r="A627" s="20"/>
      <c r="B627" s="47"/>
      <c r="C627" s="51"/>
      <c r="D627" s="51"/>
      <c r="E627" s="51"/>
      <c r="F627" s="48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8"/>
      <c r="BK627" s="48"/>
      <c r="BL627" s="48"/>
      <c r="BM627" s="48"/>
      <c r="BN627" s="48"/>
      <c r="BO627" s="48"/>
      <c r="BP627" s="48"/>
      <c r="BQ627" s="48"/>
      <c r="BR627" s="48"/>
      <c r="BS627" s="48"/>
      <c r="BT627" s="48"/>
      <c r="BU627" s="48"/>
      <c r="BV627" s="48"/>
      <c r="BW627" s="48"/>
      <c r="BX627" s="48"/>
      <c r="BY627" s="48"/>
      <c r="BZ627" s="48"/>
    </row>
    <row r="628" spans="1:78" ht="15.75" x14ac:dyDescent="0.25">
      <c r="A628" s="20"/>
      <c r="B628" s="47"/>
      <c r="C628" s="51"/>
      <c r="D628" s="51"/>
      <c r="E628" s="51"/>
      <c r="F628" s="48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8"/>
      <c r="BK628" s="48"/>
      <c r="BL628" s="48"/>
      <c r="BM628" s="48"/>
      <c r="BN628" s="48"/>
      <c r="BO628" s="48"/>
      <c r="BP628" s="48"/>
      <c r="BQ628" s="48"/>
      <c r="BR628" s="48"/>
      <c r="BS628" s="48"/>
      <c r="BT628" s="48"/>
      <c r="BU628" s="48"/>
      <c r="BV628" s="48"/>
      <c r="BW628" s="48"/>
      <c r="BX628" s="48"/>
      <c r="BY628" s="48"/>
      <c r="BZ628" s="48"/>
    </row>
    <row r="629" spans="1:78" ht="15.75" x14ac:dyDescent="0.25">
      <c r="A629" s="20"/>
      <c r="B629" s="47"/>
      <c r="C629" s="51"/>
      <c r="D629" s="51"/>
      <c r="E629" s="51"/>
      <c r="F629" s="48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8"/>
      <c r="BK629" s="48"/>
      <c r="BL629" s="48"/>
      <c r="BM629" s="48"/>
      <c r="BN629" s="48"/>
      <c r="BO629" s="48"/>
      <c r="BP629" s="48"/>
      <c r="BQ629" s="48"/>
      <c r="BR629" s="48"/>
      <c r="BS629" s="48"/>
      <c r="BT629" s="48"/>
      <c r="BU629" s="48"/>
      <c r="BV629" s="48"/>
      <c r="BW629" s="48"/>
      <c r="BX629" s="48"/>
      <c r="BY629" s="48"/>
      <c r="BZ629" s="48"/>
    </row>
    <row r="630" spans="1:78" ht="15.75" x14ac:dyDescent="0.25">
      <c r="A630" s="20"/>
      <c r="B630" s="47"/>
      <c r="C630" s="51"/>
      <c r="D630" s="51"/>
      <c r="E630" s="51"/>
      <c r="F630" s="48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48"/>
      <c r="BL630" s="48"/>
      <c r="BM630" s="48"/>
      <c r="BN630" s="48"/>
      <c r="BO630" s="48"/>
      <c r="BP630" s="48"/>
      <c r="BQ630" s="48"/>
      <c r="BR630" s="48"/>
      <c r="BS630" s="48"/>
      <c r="BT630" s="48"/>
      <c r="BU630" s="48"/>
      <c r="BV630" s="48"/>
      <c r="BW630" s="48"/>
      <c r="BX630" s="48"/>
      <c r="BY630" s="48"/>
      <c r="BZ630" s="48"/>
    </row>
    <row r="631" spans="1:78" ht="15.75" x14ac:dyDescent="0.25">
      <c r="A631" s="20"/>
      <c r="B631" s="47"/>
      <c r="C631" s="51"/>
      <c r="D631" s="51"/>
      <c r="E631" s="51"/>
      <c r="F631" s="48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8"/>
      <c r="BK631" s="48"/>
      <c r="BL631" s="48"/>
      <c r="BM631" s="48"/>
      <c r="BN631" s="48"/>
      <c r="BO631" s="48"/>
      <c r="BP631" s="48"/>
      <c r="BQ631" s="48"/>
      <c r="BR631" s="48"/>
      <c r="BS631" s="48"/>
      <c r="BT631" s="48"/>
      <c r="BU631" s="48"/>
      <c r="BV631" s="48"/>
      <c r="BW631" s="48"/>
      <c r="BX631" s="48"/>
      <c r="BY631" s="48"/>
      <c r="BZ631" s="48"/>
    </row>
    <row r="632" spans="1:78" ht="15.75" x14ac:dyDescent="0.25">
      <c r="A632" s="20"/>
      <c r="B632" s="47"/>
      <c r="C632" s="51"/>
      <c r="D632" s="51"/>
      <c r="E632" s="51"/>
      <c r="F632" s="48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8"/>
      <c r="BK632" s="48"/>
      <c r="BL632" s="48"/>
      <c r="BM632" s="48"/>
      <c r="BN632" s="48"/>
      <c r="BO632" s="48"/>
      <c r="BP632" s="48"/>
      <c r="BQ632" s="48"/>
      <c r="BR632" s="48"/>
      <c r="BS632" s="48"/>
      <c r="BT632" s="48"/>
      <c r="BU632" s="48"/>
      <c r="BV632" s="48"/>
      <c r="BW632" s="48"/>
      <c r="BX632" s="48"/>
      <c r="BY632" s="48"/>
      <c r="BZ632" s="48"/>
    </row>
    <row r="633" spans="1:78" ht="15.75" x14ac:dyDescent="0.25">
      <c r="A633" s="20"/>
      <c r="B633" s="47"/>
      <c r="C633" s="51"/>
      <c r="D633" s="51"/>
      <c r="E633" s="51"/>
      <c r="F633" s="48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8"/>
      <c r="BK633" s="48"/>
      <c r="BL633" s="48"/>
      <c r="BM633" s="48"/>
      <c r="BN633" s="48"/>
      <c r="BO633" s="48"/>
      <c r="BP633" s="48"/>
      <c r="BQ633" s="48"/>
      <c r="BR633" s="48"/>
      <c r="BS633" s="48"/>
      <c r="BT633" s="48"/>
      <c r="BU633" s="48"/>
      <c r="BV633" s="48"/>
      <c r="BW633" s="48"/>
      <c r="BX633" s="48"/>
      <c r="BY633" s="48"/>
      <c r="BZ633" s="48"/>
    </row>
    <row r="634" spans="1:78" ht="15.75" x14ac:dyDescent="0.25">
      <c r="A634" s="20"/>
      <c r="B634" s="47"/>
      <c r="C634" s="51"/>
      <c r="D634" s="51"/>
      <c r="E634" s="51"/>
      <c r="F634" s="48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48"/>
      <c r="BL634" s="48"/>
      <c r="BM634" s="48"/>
      <c r="BN634" s="48"/>
      <c r="BO634" s="48"/>
      <c r="BP634" s="48"/>
      <c r="BQ634" s="48"/>
      <c r="BR634" s="48"/>
      <c r="BS634" s="48"/>
      <c r="BT634" s="48"/>
      <c r="BU634" s="48"/>
      <c r="BV634" s="48"/>
      <c r="BW634" s="48"/>
      <c r="BX634" s="48"/>
      <c r="BY634" s="48"/>
      <c r="BZ634" s="48"/>
    </row>
    <row r="635" spans="1:78" ht="15.75" x14ac:dyDescent="0.25">
      <c r="A635" s="20"/>
      <c r="B635" s="47"/>
      <c r="C635" s="51"/>
      <c r="D635" s="51"/>
      <c r="E635" s="51"/>
      <c r="F635" s="48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8"/>
      <c r="BK635" s="48"/>
      <c r="BL635" s="48"/>
      <c r="BM635" s="48"/>
      <c r="BN635" s="48"/>
      <c r="BO635" s="48"/>
      <c r="BP635" s="48"/>
      <c r="BQ635" s="48"/>
      <c r="BR635" s="48"/>
      <c r="BS635" s="48"/>
      <c r="BT635" s="48"/>
      <c r="BU635" s="48"/>
      <c r="BV635" s="48"/>
      <c r="BW635" s="48"/>
      <c r="BX635" s="48"/>
      <c r="BY635" s="48"/>
      <c r="BZ635" s="48"/>
    </row>
    <row r="636" spans="1:78" ht="15.75" x14ac:dyDescent="0.25">
      <c r="A636" s="20"/>
      <c r="B636" s="47"/>
      <c r="C636" s="51"/>
      <c r="D636" s="51"/>
      <c r="E636" s="51"/>
      <c r="F636" s="48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8"/>
      <c r="BK636" s="48"/>
      <c r="BL636" s="48"/>
      <c r="BM636" s="48"/>
      <c r="BN636" s="48"/>
      <c r="BO636" s="48"/>
      <c r="BP636" s="48"/>
      <c r="BQ636" s="48"/>
      <c r="BR636" s="48"/>
      <c r="BS636" s="48"/>
      <c r="BT636" s="48"/>
      <c r="BU636" s="48"/>
      <c r="BV636" s="48"/>
      <c r="BW636" s="48"/>
      <c r="BX636" s="48"/>
      <c r="BY636" s="48"/>
      <c r="BZ636" s="48"/>
    </row>
    <row r="637" spans="1:78" ht="15.75" x14ac:dyDescent="0.25">
      <c r="A637" s="20"/>
      <c r="B637" s="47"/>
      <c r="C637" s="51"/>
      <c r="D637" s="51"/>
      <c r="E637" s="51"/>
      <c r="F637" s="48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48"/>
      <c r="BL637" s="48"/>
      <c r="BM637" s="48"/>
      <c r="BN637" s="48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  <c r="BZ637" s="48"/>
    </row>
    <row r="638" spans="1:78" ht="15.75" x14ac:dyDescent="0.25">
      <c r="A638" s="20"/>
      <c r="B638" s="47"/>
      <c r="C638" s="51"/>
      <c r="D638" s="51"/>
      <c r="E638" s="51"/>
      <c r="F638" s="48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  <c r="BL638" s="48"/>
      <c r="BM638" s="48"/>
      <c r="BN638" s="48"/>
      <c r="BO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  <c r="BZ638" s="48"/>
    </row>
    <row r="639" spans="1:78" ht="15.75" x14ac:dyDescent="0.25">
      <c r="A639" s="20"/>
      <c r="B639" s="47"/>
      <c r="C639" s="51"/>
      <c r="D639" s="51"/>
      <c r="E639" s="51"/>
      <c r="F639" s="48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48"/>
      <c r="BL639" s="48"/>
      <c r="BM639" s="48"/>
      <c r="BN639" s="48"/>
      <c r="BO639" s="48"/>
      <c r="BP639" s="48"/>
      <c r="BQ639" s="48"/>
      <c r="BR639" s="48"/>
      <c r="BS639" s="48"/>
      <c r="BT639" s="48"/>
      <c r="BU639" s="48"/>
      <c r="BV639" s="48"/>
      <c r="BW639" s="48"/>
      <c r="BX639" s="48"/>
      <c r="BY639" s="48"/>
      <c r="BZ639" s="48"/>
    </row>
    <row r="640" spans="1:78" ht="15.75" x14ac:dyDescent="0.25">
      <c r="A640" s="20"/>
      <c r="B640" s="47"/>
      <c r="C640" s="51"/>
      <c r="D640" s="51"/>
      <c r="E640" s="51"/>
      <c r="F640" s="48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48"/>
      <c r="BL640" s="48"/>
      <c r="BM640" s="48"/>
      <c r="BN640" s="48"/>
      <c r="BO640" s="48"/>
      <c r="BP640" s="48"/>
      <c r="BQ640" s="48"/>
      <c r="BR640" s="48"/>
      <c r="BS640" s="48"/>
      <c r="BT640" s="48"/>
      <c r="BU640" s="48"/>
      <c r="BV640" s="48"/>
      <c r="BW640" s="48"/>
      <c r="BX640" s="48"/>
      <c r="BY640" s="48"/>
      <c r="BZ640" s="48"/>
    </row>
    <row r="641" spans="1:78" ht="15.75" x14ac:dyDescent="0.25">
      <c r="A641" s="20"/>
      <c r="B641" s="47"/>
      <c r="C641" s="51"/>
      <c r="D641" s="51"/>
      <c r="E641" s="51"/>
      <c r="F641" s="48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48"/>
      <c r="BL641" s="48"/>
      <c r="BM641" s="48"/>
      <c r="BN641" s="48"/>
      <c r="BO641" s="48"/>
      <c r="BP641" s="48"/>
      <c r="BQ641" s="48"/>
      <c r="BR641" s="48"/>
      <c r="BS641" s="48"/>
      <c r="BT641" s="48"/>
      <c r="BU641" s="48"/>
      <c r="BV641" s="48"/>
      <c r="BW641" s="48"/>
      <c r="BX641" s="48"/>
      <c r="BY641" s="48"/>
      <c r="BZ641" s="48"/>
    </row>
    <row r="642" spans="1:78" ht="15.75" x14ac:dyDescent="0.25">
      <c r="A642" s="20"/>
      <c r="B642" s="47"/>
      <c r="C642" s="51"/>
      <c r="D642" s="51"/>
      <c r="E642" s="51"/>
      <c r="F642" s="48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8"/>
      <c r="BK642" s="48"/>
      <c r="BL642" s="48"/>
      <c r="BM642" s="48"/>
      <c r="BN642" s="48"/>
      <c r="BO642" s="48"/>
      <c r="BP642" s="48"/>
      <c r="BQ642" s="48"/>
      <c r="BR642" s="48"/>
      <c r="BS642" s="48"/>
      <c r="BT642" s="48"/>
      <c r="BU642" s="48"/>
      <c r="BV642" s="48"/>
      <c r="BW642" s="48"/>
      <c r="BX642" s="48"/>
      <c r="BY642" s="48"/>
      <c r="BZ642" s="48"/>
    </row>
    <row r="643" spans="1:78" ht="15.75" x14ac:dyDescent="0.25">
      <c r="A643" s="20"/>
      <c r="B643" s="47"/>
      <c r="C643" s="51"/>
      <c r="D643" s="51"/>
      <c r="E643" s="51"/>
      <c r="F643" s="48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48"/>
      <c r="BL643" s="48"/>
      <c r="BM643" s="48"/>
      <c r="BN643" s="48"/>
      <c r="BO643" s="48"/>
      <c r="BP643" s="48"/>
      <c r="BQ643" s="48"/>
      <c r="BR643" s="48"/>
      <c r="BS643" s="48"/>
      <c r="BT643" s="48"/>
      <c r="BU643" s="48"/>
      <c r="BV643" s="48"/>
      <c r="BW643" s="48"/>
      <c r="BX643" s="48"/>
      <c r="BY643" s="48"/>
      <c r="BZ643" s="48"/>
    </row>
    <row r="644" spans="1:78" ht="15.75" x14ac:dyDescent="0.25">
      <c r="A644" s="20"/>
      <c r="B644" s="47"/>
      <c r="C644" s="51"/>
      <c r="D644" s="51"/>
      <c r="E644" s="51"/>
      <c r="F644" s="48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8"/>
      <c r="BK644" s="48"/>
      <c r="BL644" s="48"/>
      <c r="BM644" s="48"/>
      <c r="BN644" s="48"/>
      <c r="BO644" s="48"/>
      <c r="BP644" s="48"/>
      <c r="BQ644" s="48"/>
      <c r="BR644" s="48"/>
      <c r="BS644" s="48"/>
      <c r="BT644" s="48"/>
      <c r="BU644" s="48"/>
      <c r="BV644" s="48"/>
      <c r="BW644" s="48"/>
      <c r="BX644" s="48"/>
      <c r="BY644" s="48"/>
      <c r="BZ644" s="48"/>
    </row>
    <row r="645" spans="1:78" ht="15.75" x14ac:dyDescent="0.25">
      <c r="A645" s="20"/>
      <c r="B645" s="47"/>
      <c r="C645" s="51"/>
      <c r="D645" s="51"/>
      <c r="E645" s="51"/>
      <c r="F645" s="48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8"/>
      <c r="BK645" s="48"/>
      <c r="BL645" s="48"/>
      <c r="BM645" s="48"/>
      <c r="BN645" s="48"/>
      <c r="BO645" s="48"/>
      <c r="BP645" s="48"/>
      <c r="BQ645" s="48"/>
      <c r="BR645" s="48"/>
      <c r="BS645" s="48"/>
      <c r="BT645" s="48"/>
      <c r="BU645" s="48"/>
      <c r="BV645" s="48"/>
      <c r="BW645" s="48"/>
      <c r="BX645" s="48"/>
      <c r="BY645" s="48"/>
      <c r="BZ645" s="48"/>
    </row>
    <row r="646" spans="1:78" ht="15.75" x14ac:dyDescent="0.25">
      <c r="A646" s="20"/>
      <c r="B646" s="47"/>
      <c r="C646" s="51"/>
      <c r="D646" s="51"/>
      <c r="E646" s="51"/>
      <c r="F646" s="48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48"/>
      <c r="BL646" s="48"/>
      <c r="BM646" s="48"/>
      <c r="BN646" s="48"/>
      <c r="BO646" s="48"/>
      <c r="BP646" s="48"/>
      <c r="BQ646" s="48"/>
      <c r="BR646" s="48"/>
      <c r="BS646" s="48"/>
      <c r="BT646" s="48"/>
      <c r="BU646" s="48"/>
      <c r="BV646" s="48"/>
      <c r="BW646" s="48"/>
      <c r="BX646" s="48"/>
      <c r="BY646" s="48"/>
      <c r="BZ646" s="48"/>
    </row>
    <row r="647" spans="1:78" ht="15.75" x14ac:dyDescent="0.25">
      <c r="A647" s="20"/>
      <c r="B647" s="47"/>
      <c r="C647" s="51"/>
      <c r="D647" s="51"/>
      <c r="E647" s="51"/>
      <c r="F647" s="48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8"/>
      <c r="BK647" s="48"/>
      <c r="BL647" s="48"/>
      <c r="BM647" s="48"/>
      <c r="BN647" s="48"/>
      <c r="BO647" s="48"/>
      <c r="BP647" s="48"/>
      <c r="BQ647" s="48"/>
      <c r="BR647" s="48"/>
      <c r="BS647" s="48"/>
      <c r="BT647" s="48"/>
      <c r="BU647" s="48"/>
      <c r="BV647" s="48"/>
      <c r="BW647" s="48"/>
      <c r="BX647" s="48"/>
      <c r="BY647" s="48"/>
      <c r="BZ647" s="48"/>
    </row>
    <row r="648" spans="1:78" ht="15.75" x14ac:dyDescent="0.25">
      <c r="A648" s="20"/>
      <c r="B648" s="47"/>
      <c r="C648" s="51"/>
      <c r="D648" s="51"/>
      <c r="E648" s="51"/>
      <c r="F648" s="48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48"/>
      <c r="BL648" s="48"/>
      <c r="BM648" s="48"/>
      <c r="BN648" s="48"/>
      <c r="BO648" s="48"/>
      <c r="BP648" s="48"/>
      <c r="BQ648" s="48"/>
      <c r="BR648" s="48"/>
      <c r="BS648" s="48"/>
      <c r="BT648" s="48"/>
      <c r="BU648" s="48"/>
      <c r="BV648" s="48"/>
      <c r="BW648" s="48"/>
      <c r="BX648" s="48"/>
      <c r="BY648" s="48"/>
      <c r="BZ648" s="48"/>
    </row>
    <row r="649" spans="1:78" ht="15.75" x14ac:dyDescent="0.25">
      <c r="A649" s="20"/>
      <c r="B649" s="47"/>
      <c r="C649" s="51"/>
      <c r="D649" s="51"/>
      <c r="E649" s="51"/>
      <c r="F649" s="48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48"/>
      <c r="BL649" s="48"/>
      <c r="BM649" s="48"/>
      <c r="BN649" s="48"/>
      <c r="BO649" s="48"/>
      <c r="BP649" s="48"/>
      <c r="BQ649" s="48"/>
      <c r="BR649" s="48"/>
      <c r="BS649" s="48"/>
      <c r="BT649" s="48"/>
      <c r="BU649" s="48"/>
      <c r="BV649" s="48"/>
      <c r="BW649" s="48"/>
      <c r="BX649" s="48"/>
      <c r="BY649" s="48"/>
      <c r="BZ649" s="48"/>
    </row>
    <row r="650" spans="1:78" ht="15.75" x14ac:dyDescent="0.25">
      <c r="A650" s="20"/>
      <c r="B650" s="47"/>
      <c r="C650" s="51"/>
      <c r="D650" s="51"/>
      <c r="E650" s="51"/>
      <c r="F650" s="48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48"/>
      <c r="BL650" s="48"/>
      <c r="BM650" s="48"/>
      <c r="BN650" s="48"/>
      <c r="BO650" s="48"/>
      <c r="BP650" s="48"/>
      <c r="BQ650" s="48"/>
      <c r="BR650" s="48"/>
      <c r="BS650" s="48"/>
      <c r="BT650" s="48"/>
      <c r="BU650" s="48"/>
      <c r="BV650" s="48"/>
      <c r="BW650" s="48"/>
      <c r="BX650" s="48"/>
      <c r="BY650" s="48"/>
      <c r="BZ650" s="48"/>
    </row>
    <row r="651" spans="1:78" ht="15.75" x14ac:dyDescent="0.25">
      <c r="A651" s="20"/>
      <c r="B651" s="47"/>
      <c r="C651" s="51"/>
      <c r="D651" s="51"/>
      <c r="E651" s="51"/>
      <c r="F651" s="48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48"/>
      <c r="BL651" s="48"/>
      <c r="BM651" s="48"/>
      <c r="BN651" s="48"/>
      <c r="BO651" s="48"/>
      <c r="BP651" s="48"/>
      <c r="BQ651" s="48"/>
      <c r="BR651" s="48"/>
      <c r="BS651" s="48"/>
      <c r="BT651" s="48"/>
      <c r="BU651" s="48"/>
      <c r="BV651" s="48"/>
      <c r="BW651" s="48"/>
      <c r="BX651" s="48"/>
      <c r="BY651" s="48"/>
      <c r="BZ651" s="48"/>
    </row>
    <row r="652" spans="1:78" ht="15.75" x14ac:dyDescent="0.25">
      <c r="A652" s="20"/>
      <c r="B652" s="47"/>
      <c r="C652" s="51"/>
      <c r="D652" s="51"/>
      <c r="E652" s="51"/>
      <c r="F652" s="48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48"/>
      <c r="BL652" s="48"/>
      <c r="BM652" s="48"/>
      <c r="BN652" s="48"/>
      <c r="BO652" s="48"/>
      <c r="BP652" s="48"/>
      <c r="BQ652" s="48"/>
      <c r="BR652" s="48"/>
      <c r="BS652" s="48"/>
      <c r="BT652" s="48"/>
      <c r="BU652" s="48"/>
      <c r="BV652" s="48"/>
      <c r="BW652" s="48"/>
      <c r="BX652" s="48"/>
      <c r="BY652" s="48"/>
      <c r="BZ652" s="48"/>
    </row>
    <row r="653" spans="1:78" ht="15.75" x14ac:dyDescent="0.25">
      <c r="A653" s="20"/>
      <c r="B653" s="47"/>
      <c r="C653" s="51"/>
      <c r="D653" s="51"/>
      <c r="E653" s="51"/>
      <c r="F653" s="48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8"/>
      <c r="BK653" s="48"/>
      <c r="BL653" s="48"/>
      <c r="BM653" s="48"/>
      <c r="BN653" s="48"/>
      <c r="BO653" s="48"/>
      <c r="BP653" s="48"/>
      <c r="BQ653" s="48"/>
      <c r="BR653" s="48"/>
      <c r="BS653" s="48"/>
      <c r="BT653" s="48"/>
      <c r="BU653" s="48"/>
      <c r="BV653" s="48"/>
      <c r="BW653" s="48"/>
      <c r="BX653" s="48"/>
      <c r="BY653" s="48"/>
      <c r="BZ653" s="48"/>
    </row>
    <row r="654" spans="1:78" ht="15.75" x14ac:dyDescent="0.25">
      <c r="A654" s="20"/>
      <c r="B654" s="47"/>
      <c r="C654" s="51"/>
      <c r="D654" s="51"/>
      <c r="E654" s="51"/>
      <c r="F654" s="48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48"/>
      <c r="BL654" s="48"/>
      <c r="BM654" s="48"/>
      <c r="BN654" s="48"/>
      <c r="BO654" s="48"/>
      <c r="BP654" s="48"/>
      <c r="BQ654" s="48"/>
      <c r="BR654" s="48"/>
      <c r="BS654" s="48"/>
      <c r="BT654" s="48"/>
      <c r="BU654" s="48"/>
      <c r="BV654" s="48"/>
      <c r="BW654" s="48"/>
      <c r="BX654" s="48"/>
      <c r="BY654" s="48"/>
      <c r="BZ654" s="48"/>
    </row>
    <row r="655" spans="1:78" ht="15.75" x14ac:dyDescent="0.25">
      <c r="A655" s="20"/>
      <c r="B655" s="47"/>
      <c r="C655" s="51"/>
      <c r="D655" s="51"/>
      <c r="E655" s="51"/>
      <c r="F655" s="48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48"/>
      <c r="BL655" s="48"/>
      <c r="BM655" s="48"/>
      <c r="BN655" s="48"/>
      <c r="BO655" s="48"/>
      <c r="BP655" s="48"/>
      <c r="BQ655" s="48"/>
      <c r="BR655" s="48"/>
      <c r="BS655" s="48"/>
      <c r="BT655" s="48"/>
      <c r="BU655" s="48"/>
      <c r="BV655" s="48"/>
      <c r="BW655" s="48"/>
      <c r="BX655" s="48"/>
      <c r="BY655" s="48"/>
      <c r="BZ655" s="48"/>
    </row>
    <row r="656" spans="1:78" ht="15.75" x14ac:dyDescent="0.25">
      <c r="A656" s="20"/>
      <c r="B656" s="47"/>
      <c r="C656" s="51"/>
      <c r="D656" s="51"/>
      <c r="E656" s="51"/>
      <c r="F656" s="48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48"/>
      <c r="BL656" s="48"/>
      <c r="BM656" s="48"/>
      <c r="BN656" s="48"/>
      <c r="BO656" s="48"/>
      <c r="BP656" s="48"/>
      <c r="BQ656" s="48"/>
      <c r="BR656" s="48"/>
      <c r="BS656" s="48"/>
      <c r="BT656" s="48"/>
      <c r="BU656" s="48"/>
      <c r="BV656" s="48"/>
      <c r="BW656" s="48"/>
      <c r="BX656" s="48"/>
      <c r="BY656" s="48"/>
      <c r="BZ656" s="48"/>
    </row>
    <row r="657" spans="1:78" ht="15.75" x14ac:dyDescent="0.25">
      <c r="A657" s="20"/>
      <c r="B657" s="47"/>
      <c r="C657" s="51"/>
      <c r="D657" s="51"/>
      <c r="E657" s="51"/>
      <c r="F657" s="48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8"/>
      <c r="BK657" s="48"/>
      <c r="BL657" s="48"/>
      <c r="BM657" s="48"/>
      <c r="BN657" s="48"/>
      <c r="BO657" s="48"/>
      <c r="BP657" s="48"/>
      <c r="BQ657" s="48"/>
      <c r="BR657" s="48"/>
      <c r="BS657" s="48"/>
      <c r="BT657" s="48"/>
      <c r="BU657" s="48"/>
      <c r="BV657" s="48"/>
      <c r="BW657" s="48"/>
      <c r="BX657" s="48"/>
      <c r="BY657" s="48"/>
      <c r="BZ657" s="48"/>
    </row>
    <row r="658" spans="1:78" ht="15.75" x14ac:dyDescent="0.25">
      <c r="A658" s="20"/>
      <c r="B658" s="47"/>
      <c r="C658" s="51"/>
      <c r="D658" s="51"/>
      <c r="E658" s="51"/>
      <c r="F658" s="48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8"/>
      <c r="BK658" s="48"/>
      <c r="BL658" s="48"/>
      <c r="BM658" s="48"/>
      <c r="BN658" s="48"/>
      <c r="BO658" s="48"/>
      <c r="BP658" s="48"/>
      <c r="BQ658" s="48"/>
      <c r="BR658" s="48"/>
      <c r="BS658" s="48"/>
      <c r="BT658" s="48"/>
      <c r="BU658" s="48"/>
      <c r="BV658" s="48"/>
      <c r="BW658" s="48"/>
      <c r="BX658" s="48"/>
      <c r="BY658" s="48"/>
      <c r="BZ658" s="48"/>
    </row>
    <row r="659" spans="1:78" ht="15.75" x14ac:dyDescent="0.25">
      <c r="A659" s="20"/>
      <c r="B659" s="47"/>
      <c r="C659" s="51"/>
      <c r="D659" s="51"/>
      <c r="E659" s="51"/>
      <c r="F659" s="48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8"/>
      <c r="BK659" s="48"/>
      <c r="BL659" s="48"/>
      <c r="BM659" s="48"/>
      <c r="BN659" s="48"/>
      <c r="BO659" s="48"/>
      <c r="BP659" s="48"/>
      <c r="BQ659" s="48"/>
      <c r="BR659" s="48"/>
      <c r="BS659" s="48"/>
      <c r="BT659" s="48"/>
      <c r="BU659" s="48"/>
      <c r="BV659" s="48"/>
      <c r="BW659" s="48"/>
      <c r="BX659" s="48"/>
      <c r="BY659" s="48"/>
      <c r="BZ659" s="48"/>
    </row>
    <row r="660" spans="1:78" ht="15.75" x14ac:dyDescent="0.25">
      <c r="A660" s="20"/>
      <c r="B660" s="47"/>
      <c r="C660" s="51"/>
      <c r="D660" s="51"/>
      <c r="E660" s="51"/>
      <c r="F660" s="48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8"/>
      <c r="BK660" s="48"/>
      <c r="BL660" s="48"/>
      <c r="BM660" s="48"/>
      <c r="BN660" s="48"/>
      <c r="BO660" s="48"/>
      <c r="BP660" s="48"/>
      <c r="BQ660" s="48"/>
      <c r="BR660" s="48"/>
      <c r="BS660" s="48"/>
      <c r="BT660" s="48"/>
      <c r="BU660" s="48"/>
      <c r="BV660" s="48"/>
      <c r="BW660" s="48"/>
      <c r="BX660" s="48"/>
      <c r="BY660" s="48"/>
      <c r="BZ660" s="48"/>
    </row>
    <row r="661" spans="1:78" ht="15.75" x14ac:dyDescent="0.25">
      <c r="A661" s="20"/>
      <c r="B661" s="47"/>
      <c r="C661" s="51"/>
      <c r="D661" s="51"/>
      <c r="E661" s="51"/>
      <c r="F661" s="48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8"/>
      <c r="BK661" s="48"/>
      <c r="BL661" s="48"/>
      <c r="BM661" s="48"/>
      <c r="BN661" s="48"/>
      <c r="BO661" s="48"/>
      <c r="BP661" s="48"/>
      <c r="BQ661" s="48"/>
      <c r="BR661" s="48"/>
      <c r="BS661" s="48"/>
      <c r="BT661" s="48"/>
      <c r="BU661" s="48"/>
      <c r="BV661" s="48"/>
      <c r="BW661" s="48"/>
      <c r="BX661" s="48"/>
      <c r="BY661" s="48"/>
      <c r="BZ661" s="48"/>
    </row>
    <row r="662" spans="1:78" ht="15.75" x14ac:dyDescent="0.25">
      <c r="A662" s="20"/>
      <c r="B662" s="47"/>
      <c r="C662" s="51"/>
      <c r="D662" s="51"/>
      <c r="E662" s="51"/>
      <c r="F662" s="48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  <c r="BL662" s="48"/>
      <c r="BM662" s="48"/>
      <c r="BN662" s="48"/>
      <c r="BO662" s="48"/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48"/>
    </row>
    <row r="663" spans="1:78" ht="15.75" x14ac:dyDescent="0.25">
      <c r="A663" s="20"/>
      <c r="B663" s="47"/>
      <c r="C663" s="51"/>
      <c r="D663" s="51"/>
      <c r="E663" s="51"/>
      <c r="F663" s="48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8"/>
      <c r="BK663" s="48"/>
      <c r="BL663" s="48"/>
      <c r="BM663" s="48"/>
      <c r="BN663" s="48"/>
      <c r="BO663" s="48"/>
      <c r="BP663" s="48"/>
      <c r="BQ663" s="48"/>
      <c r="BR663" s="48"/>
      <c r="BS663" s="48"/>
      <c r="BT663" s="48"/>
      <c r="BU663" s="48"/>
      <c r="BV663" s="48"/>
      <c r="BW663" s="48"/>
      <c r="BX663" s="48"/>
      <c r="BY663" s="48"/>
      <c r="BZ663" s="48"/>
    </row>
    <row r="664" spans="1:78" ht="15.75" x14ac:dyDescent="0.25">
      <c r="A664" s="20"/>
      <c r="B664" s="47"/>
      <c r="C664" s="51"/>
      <c r="D664" s="51"/>
      <c r="E664" s="51"/>
      <c r="F664" s="48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48"/>
      <c r="BL664" s="48"/>
      <c r="BM664" s="48"/>
      <c r="BN664" s="48"/>
      <c r="BO664" s="48"/>
      <c r="BP664" s="48"/>
      <c r="BQ664" s="48"/>
      <c r="BR664" s="48"/>
      <c r="BS664" s="48"/>
      <c r="BT664" s="48"/>
      <c r="BU664" s="48"/>
      <c r="BV664" s="48"/>
      <c r="BW664" s="48"/>
      <c r="BX664" s="48"/>
      <c r="BY664" s="48"/>
      <c r="BZ664" s="48"/>
    </row>
    <row r="665" spans="1:78" ht="15.75" x14ac:dyDescent="0.25">
      <c r="A665" s="20"/>
      <c r="B665" s="47"/>
      <c r="C665" s="51"/>
      <c r="D665" s="51"/>
      <c r="E665" s="51"/>
      <c r="F665" s="48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8"/>
      <c r="BK665" s="48"/>
      <c r="BL665" s="48"/>
      <c r="BM665" s="48"/>
      <c r="BN665" s="48"/>
      <c r="BO665" s="48"/>
      <c r="BP665" s="48"/>
      <c r="BQ665" s="48"/>
      <c r="BR665" s="48"/>
      <c r="BS665" s="48"/>
      <c r="BT665" s="48"/>
      <c r="BU665" s="48"/>
      <c r="BV665" s="48"/>
      <c r="BW665" s="48"/>
      <c r="BX665" s="48"/>
      <c r="BY665" s="48"/>
      <c r="BZ665" s="48"/>
    </row>
    <row r="666" spans="1:78" ht="15.75" x14ac:dyDescent="0.25">
      <c r="A666" s="20"/>
      <c r="B666" s="47"/>
      <c r="C666" s="51"/>
      <c r="D666" s="51"/>
      <c r="E666" s="51"/>
      <c r="F666" s="48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8"/>
      <c r="BK666" s="48"/>
      <c r="BL666" s="48"/>
      <c r="BM666" s="48"/>
      <c r="BN666" s="48"/>
      <c r="BO666" s="48"/>
      <c r="BP666" s="48"/>
      <c r="BQ666" s="48"/>
      <c r="BR666" s="48"/>
      <c r="BS666" s="48"/>
      <c r="BT666" s="48"/>
      <c r="BU666" s="48"/>
      <c r="BV666" s="48"/>
      <c r="BW666" s="48"/>
      <c r="BX666" s="48"/>
      <c r="BY666" s="48"/>
      <c r="BZ666" s="48"/>
    </row>
    <row r="667" spans="1:78" ht="15.75" x14ac:dyDescent="0.25">
      <c r="A667" s="20"/>
      <c r="B667" s="47"/>
      <c r="C667" s="51"/>
      <c r="D667" s="51"/>
      <c r="E667" s="51"/>
      <c r="F667" s="48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8"/>
      <c r="BK667" s="48"/>
      <c r="BL667" s="48"/>
      <c r="BM667" s="48"/>
      <c r="BN667" s="48"/>
      <c r="BO667" s="48"/>
      <c r="BP667" s="48"/>
      <c r="BQ667" s="48"/>
      <c r="BR667" s="48"/>
      <c r="BS667" s="48"/>
      <c r="BT667" s="48"/>
      <c r="BU667" s="48"/>
      <c r="BV667" s="48"/>
      <c r="BW667" s="48"/>
      <c r="BX667" s="48"/>
      <c r="BY667" s="48"/>
      <c r="BZ667" s="48"/>
    </row>
    <row r="668" spans="1:78" ht="15.75" x14ac:dyDescent="0.25">
      <c r="A668" s="20"/>
      <c r="B668" s="47"/>
      <c r="C668" s="51"/>
      <c r="D668" s="51"/>
      <c r="E668" s="51"/>
      <c r="F668" s="48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8"/>
      <c r="BK668" s="48"/>
      <c r="BL668" s="48"/>
      <c r="BM668" s="48"/>
      <c r="BN668" s="48"/>
      <c r="BO668" s="48"/>
      <c r="BP668" s="48"/>
      <c r="BQ668" s="48"/>
      <c r="BR668" s="48"/>
      <c r="BS668" s="48"/>
      <c r="BT668" s="48"/>
      <c r="BU668" s="48"/>
      <c r="BV668" s="48"/>
      <c r="BW668" s="48"/>
      <c r="BX668" s="48"/>
      <c r="BY668" s="48"/>
      <c r="BZ668" s="48"/>
    </row>
    <row r="669" spans="1:78" ht="15.75" x14ac:dyDescent="0.25">
      <c r="A669" s="20"/>
      <c r="B669" s="47"/>
      <c r="C669" s="51"/>
      <c r="D669" s="51"/>
      <c r="E669" s="51"/>
      <c r="F669" s="48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8"/>
      <c r="BK669" s="48"/>
      <c r="BL669" s="48"/>
      <c r="BM669" s="48"/>
      <c r="BN669" s="48"/>
      <c r="BO669" s="48"/>
      <c r="BP669" s="48"/>
      <c r="BQ669" s="48"/>
      <c r="BR669" s="48"/>
      <c r="BS669" s="48"/>
      <c r="BT669" s="48"/>
      <c r="BU669" s="48"/>
      <c r="BV669" s="48"/>
      <c r="BW669" s="48"/>
      <c r="BX669" s="48"/>
      <c r="BY669" s="48"/>
      <c r="BZ669" s="48"/>
    </row>
    <row r="670" spans="1:78" ht="15.75" x14ac:dyDescent="0.25">
      <c r="A670" s="20"/>
      <c r="B670" s="47"/>
      <c r="C670" s="51"/>
      <c r="D670" s="51"/>
      <c r="E670" s="51"/>
      <c r="F670" s="48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48"/>
      <c r="BL670" s="48"/>
      <c r="BM670" s="48"/>
      <c r="BN670" s="48"/>
      <c r="BO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  <c r="BZ670" s="48"/>
    </row>
    <row r="671" spans="1:78" ht="15.75" x14ac:dyDescent="0.25">
      <c r="A671" s="20"/>
      <c r="B671" s="47"/>
      <c r="C671" s="51"/>
      <c r="D671" s="51"/>
      <c r="E671" s="51"/>
      <c r="F671" s="48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8"/>
      <c r="BK671" s="48"/>
      <c r="BL671" s="48"/>
      <c r="BM671" s="48"/>
      <c r="BN671" s="48"/>
      <c r="BO671" s="48"/>
      <c r="BP671" s="48"/>
      <c r="BQ671" s="48"/>
      <c r="BR671" s="48"/>
      <c r="BS671" s="48"/>
      <c r="BT671" s="48"/>
      <c r="BU671" s="48"/>
      <c r="BV671" s="48"/>
      <c r="BW671" s="48"/>
      <c r="BX671" s="48"/>
      <c r="BY671" s="48"/>
      <c r="BZ671" s="48"/>
    </row>
    <row r="672" spans="1:78" ht="15.75" x14ac:dyDescent="0.25">
      <c r="A672" s="20"/>
      <c r="B672" s="47"/>
      <c r="C672" s="51"/>
      <c r="D672" s="51"/>
      <c r="E672" s="51"/>
      <c r="F672" s="48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8"/>
      <c r="BK672" s="48"/>
      <c r="BL672" s="48"/>
      <c r="BM672" s="48"/>
      <c r="BN672" s="48"/>
      <c r="BO672" s="48"/>
      <c r="BP672" s="48"/>
      <c r="BQ672" s="48"/>
      <c r="BR672" s="48"/>
      <c r="BS672" s="48"/>
      <c r="BT672" s="48"/>
      <c r="BU672" s="48"/>
      <c r="BV672" s="48"/>
      <c r="BW672" s="48"/>
      <c r="BX672" s="48"/>
      <c r="BY672" s="48"/>
      <c r="BZ672" s="48"/>
    </row>
    <row r="673" spans="1:78" ht="15.75" x14ac:dyDescent="0.25">
      <c r="A673" s="20"/>
      <c r="B673" s="47"/>
      <c r="C673" s="51"/>
      <c r="D673" s="51"/>
      <c r="E673" s="51"/>
      <c r="F673" s="48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8"/>
      <c r="BK673" s="48"/>
      <c r="BL673" s="48"/>
      <c r="BM673" s="48"/>
      <c r="BN673" s="48"/>
      <c r="BO673" s="48"/>
      <c r="BP673" s="48"/>
      <c r="BQ673" s="48"/>
      <c r="BR673" s="48"/>
      <c r="BS673" s="48"/>
      <c r="BT673" s="48"/>
      <c r="BU673" s="48"/>
      <c r="BV673" s="48"/>
      <c r="BW673" s="48"/>
      <c r="BX673" s="48"/>
      <c r="BY673" s="48"/>
      <c r="BZ673" s="48"/>
    </row>
    <row r="674" spans="1:78" ht="15.75" x14ac:dyDescent="0.25">
      <c r="A674" s="20"/>
      <c r="B674" s="47"/>
      <c r="C674" s="51"/>
      <c r="D674" s="51"/>
      <c r="E674" s="51"/>
      <c r="F674" s="48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8"/>
      <c r="BK674" s="48"/>
      <c r="BL674" s="48"/>
      <c r="BM674" s="48"/>
      <c r="BN674" s="48"/>
      <c r="BO674" s="48"/>
      <c r="BP674" s="48"/>
      <c r="BQ674" s="48"/>
      <c r="BR674" s="48"/>
      <c r="BS674" s="48"/>
      <c r="BT674" s="48"/>
      <c r="BU674" s="48"/>
      <c r="BV674" s="48"/>
      <c r="BW674" s="48"/>
      <c r="BX674" s="48"/>
      <c r="BY674" s="48"/>
      <c r="BZ674" s="48"/>
    </row>
    <row r="675" spans="1:78" ht="15.75" x14ac:dyDescent="0.25">
      <c r="A675" s="20"/>
      <c r="B675" s="47"/>
      <c r="C675" s="51"/>
      <c r="D675" s="51"/>
      <c r="E675" s="51"/>
      <c r="F675" s="48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8"/>
      <c r="BK675" s="48"/>
      <c r="BL675" s="48"/>
      <c r="BM675" s="48"/>
      <c r="BN675" s="48"/>
      <c r="BO675" s="48"/>
      <c r="BP675" s="48"/>
      <c r="BQ675" s="48"/>
      <c r="BR675" s="48"/>
      <c r="BS675" s="48"/>
      <c r="BT675" s="48"/>
      <c r="BU675" s="48"/>
      <c r="BV675" s="48"/>
      <c r="BW675" s="48"/>
      <c r="BX675" s="48"/>
      <c r="BY675" s="48"/>
      <c r="BZ675" s="48"/>
    </row>
    <row r="676" spans="1:78" ht="15.75" x14ac:dyDescent="0.25">
      <c r="A676" s="20"/>
      <c r="B676" s="47"/>
      <c r="C676" s="51"/>
      <c r="D676" s="51"/>
      <c r="E676" s="51"/>
      <c r="F676" s="48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48"/>
      <c r="BL676" s="48"/>
      <c r="BM676" s="48"/>
      <c r="BN676" s="48"/>
      <c r="BO676" s="48"/>
      <c r="BP676" s="48"/>
      <c r="BQ676" s="48"/>
      <c r="BR676" s="48"/>
      <c r="BS676" s="48"/>
      <c r="BT676" s="48"/>
      <c r="BU676" s="48"/>
      <c r="BV676" s="48"/>
      <c r="BW676" s="48"/>
      <c r="BX676" s="48"/>
      <c r="BY676" s="48"/>
      <c r="BZ676" s="48"/>
    </row>
    <row r="677" spans="1:78" ht="15.75" x14ac:dyDescent="0.25">
      <c r="A677" s="20"/>
      <c r="B677" s="47"/>
      <c r="C677" s="51"/>
      <c r="D677" s="51"/>
      <c r="E677" s="51"/>
      <c r="F677" s="48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8"/>
      <c r="BK677" s="48"/>
      <c r="BL677" s="48"/>
      <c r="BM677" s="48"/>
      <c r="BN677" s="48"/>
      <c r="BO677" s="48"/>
      <c r="BP677" s="48"/>
      <c r="BQ677" s="48"/>
      <c r="BR677" s="48"/>
      <c r="BS677" s="48"/>
      <c r="BT677" s="48"/>
      <c r="BU677" s="48"/>
      <c r="BV677" s="48"/>
      <c r="BW677" s="48"/>
      <c r="BX677" s="48"/>
      <c r="BY677" s="48"/>
      <c r="BZ677" s="48"/>
    </row>
    <row r="678" spans="1:78" ht="15.75" x14ac:dyDescent="0.25">
      <c r="A678" s="20"/>
      <c r="B678" s="47"/>
      <c r="C678" s="51"/>
      <c r="D678" s="51"/>
      <c r="E678" s="51"/>
      <c r="F678" s="48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8"/>
      <c r="BK678" s="48"/>
      <c r="BL678" s="48"/>
      <c r="BM678" s="48"/>
      <c r="BN678" s="48"/>
      <c r="BO678" s="48"/>
      <c r="BP678" s="48"/>
      <c r="BQ678" s="48"/>
      <c r="BR678" s="48"/>
      <c r="BS678" s="48"/>
      <c r="BT678" s="48"/>
      <c r="BU678" s="48"/>
      <c r="BV678" s="48"/>
      <c r="BW678" s="48"/>
      <c r="BX678" s="48"/>
      <c r="BY678" s="48"/>
      <c r="BZ678" s="48"/>
    </row>
    <row r="679" spans="1:78" ht="15.75" x14ac:dyDescent="0.25">
      <c r="A679" s="20"/>
      <c r="B679" s="47"/>
      <c r="C679" s="51"/>
      <c r="D679" s="51"/>
      <c r="E679" s="51"/>
      <c r="F679" s="48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48"/>
      <c r="BL679" s="48"/>
      <c r="BM679" s="48"/>
      <c r="BN679" s="48"/>
      <c r="BO679" s="48"/>
      <c r="BP679" s="48"/>
      <c r="BQ679" s="48"/>
      <c r="BR679" s="48"/>
      <c r="BS679" s="48"/>
      <c r="BT679" s="48"/>
      <c r="BU679" s="48"/>
      <c r="BV679" s="48"/>
      <c r="BW679" s="48"/>
      <c r="BX679" s="48"/>
      <c r="BY679" s="48"/>
      <c r="BZ679" s="48"/>
    </row>
    <row r="680" spans="1:78" ht="15.75" x14ac:dyDescent="0.25">
      <c r="A680" s="20"/>
      <c r="B680" s="47"/>
      <c r="C680" s="51"/>
      <c r="D680" s="51"/>
      <c r="E680" s="51"/>
      <c r="F680" s="48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8"/>
      <c r="BK680" s="48"/>
      <c r="BL680" s="48"/>
      <c r="BM680" s="48"/>
      <c r="BN680" s="48"/>
      <c r="BO680" s="48"/>
      <c r="BP680" s="48"/>
      <c r="BQ680" s="48"/>
      <c r="BR680" s="48"/>
      <c r="BS680" s="48"/>
      <c r="BT680" s="48"/>
      <c r="BU680" s="48"/>
      <c r="BV680" s="48"/>
      <c r="BW680" s="48"/>
      <c r="BX680" s="48"/>
      <c r="BY680" s="48"/>
      <c r="BZ680" s="48"/>
    </row>
    <row r="681" spans="1:78" ht="15.75" x14ac:dyDescent="0.25">
      <c r="A681" s="20"/>
      <c r="B681" s="47"/>
      <c r="C681" s="51"/>
      <c r="D681" s="51"/>
      <c r="E681" s="51"/>
      <c r="F681" s="48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8"/>
      <c r="BK681" s="48"/>
      <c r="BL681" s="48"/>
      <c r="BM681" s="48"/>
      <c r="BN681" s="48"/>
      <c r="BO681" s="48"/>
      <c r="BP681" s="48"/>
      <c r="BQ681" s="48"/>
      <c r="BR681" s="48"/>
      <c r="BS681" s="48"/>
      <c r="BT681" s="48"/>
      <c r="BU681" s="48"/>
      <c r="BV681" s="48"/>
      <c r="BW681" s="48"/>
      <c r="BX681" s="48"/>
      <c r="BY681" s="48"/>
      <c r="BZ681" s="48"/>
    </row>
    <row r="682" spans="1:78" ht="15.75" x14ac:dyDescent="0.25">
      <c r="A682" s="20"/>
      <c r="B682" s="47"/>
      <c r="C682" s="51"/>
      <c r="D682" s="51"/>
      <c r="E682" s="51"/>
      <c r="F682" s="48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48"/>
      <c r="BL682" s="48"/>
      <c r="BM682" s="48"/>
      <c r="BN682" s="48"/>
      <c r="BO682" s="48"/>
      <c r="BP682" s="48"/>
      <c r="BQ682" s="48"/>
      <c r="BR682" s="48"/>
      <c r="BS682" s="48"/>
      <c r="BT682" s="48"/>
      <c r="BU682" s="48"/>
      <c r="BV682" s="48"/>
      <c r="BW682" s="48"/>
      <c r="BX682" s="48"/>
      <c r="BY682" s="48"/>
      <c r="BZ682" s="48"/>
    </row>
    <row r="683" spans="1:78" ht="15.75" x14ac:dyDescent="0.25">
      <c r="A683" s="20"/>
      <c r="B683" s="47"/>
      <c r="C683" s="51"/>
      <c r="D683" s="51"/>
      <c r="E683" s="51"/>
      <c r="F683" s="48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8"/>
      <c r="BK683" s="48"/>
      <c r="BL683" s="48"/>
      <c r="BM683" s="48"/>
      <c r="BN683" s="48"/>
      <c r="BO683" s="48"/>
      <c r="BP683" s="48"/>
      <c r="BQ683" s="48"/>
      <c r="BR683" s="48"/>
      <c r="BS683" s="48"/>
      <c r="BT683" s="48"/>
      <c r="BU683" s="48"/>
      <c r="BV683" s="48"/>
      <c r="BW683" s="48"/>
      <c r="BX683" s="48"/>
      <c r="BY683" s="48"/>
      <c r="BZ683" s="48"/>
    </row>
    <row r="684" spans="1:78" ht="15.75" x14ac:dyDescent="0.25">
      <c r="A684" s="20"/>
      <c r="B684" s="47"/>
      <c r="C684" s="51"/>
      <c r="D684" s="51"/>
      <c r="E684" s="51"/>
      <c r="F684" s="48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8"/>
      <c r="BK684" s="48"/>
      <c r="BL684" s="48"/>
      <c r="BM684" s="48"/>
      <c r="BN684" s="48"/>
      <c r="BO684" s="48"/>
      <c r="BP684" s="48"/>
      <c r="BQ684" s="48"/>
      <c r="BR684" s="48"/>
      <c r="BS684" s="48"/>
      <c r="BT684" s="48"/>
      <c r="BU684" s="48"/>
      <c r="BV684" s="48"/>
      <c r="BW684" s="48"/>
      <c r="BX684" s="48"/>
      <c r="BY684" s="48"/>
      <c r="BZ684" s="48"/>
    </row>
    <row r="685" spans="1:78" ht="15.75" x14ac:dyDescent="0.25">
      <c r="A685" s="20"/>
      <c r="B685" s="47"/>
      <c r="C685" s="51"/>
      <c r="D685" s="51"/>
      <c r="E685" s="51"/>
      <c r="F685" s="48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8"/>
      <c r="BK685" s="48"/>
      <c r="BL685" s="48"/>
      <c r="BM685" s="48"/>
      <c r="BN685" s="48"/>
      <c r="BO685" s="48"/>
      <c r="BP685" s="48"/>
      <c r="BQ685" s="48"/>
      <c r="BR685" s="48"/>
      <c r="BS685" s="48"/>
      <c r="BT685" s="48"/>
      <c r="BU685" s="48"/>
      <c r="BV685" s="48"/>
      <c r="BW685" s="48"/>
      <c r="BX685" s="48"/>
      <c r="BY685" s="48"/>
      <c r="BZ685" s="48"/>
    </row>
    <row r="686" spans="1:78" ht="15.75" x14ac:dyDescent="0.25">
      <c r="A686" s="20"/>
      <c r="B686" s="47"/>
      <c r="C686" s="51"/>
      <c r="D686" s="51"/>
      <c r="E686" s="51"/>
      <c r="F686" s="48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8"/>
      <c r="BK686" s="48"/>
      <c r="BL686" s="48"/>
      <c r="BM686" s="48"/>
      <c r="BN686" s="48"/>
      <c r="BO686" s="48"/>
      <c r="BP686" s="48"/>
      <c r="BQ686" s="48"/>
      <c r="BR686" s="48"/>
      <c r="BS686" s="48"/>
      <c r="BT686" s="48"/>
      <c r="BU686" s="48"/>
      <c r="BV686" s="48"/>
      <c r="BW686" s="48"/>
      <c r="BX686" s="48"/>
      <c r="BY686" s="48"/>
      <c r="BZ686" s="48"/>
    </row>
    <row r="687" spans="1:78" ht="15.75" x14ac:dyDescent="0.25">
      <c r="A687" s="20"/>
      <c r="B687" s="47"/>
      <c r="C687" s="51"/>
      <c r="D687" s="51"/>
      <c r="E687" s="51"/>
      <c r="F687" s="48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8"/>
      <c r="BK687" s="48"/>
      <c r="BL687" s="48"/>
      <c r="BM687" s="48"/>
      <c r="BN687" s="48"/>
      <c r="BO687" s="48"/>
      <c r="BP687" s="48"/>
      <c r="BQ687" s="48"/>
      <c r="BR687" s="48"/>
      <c r="BS687" s="48"/>
      <c r="BT687" s="48"/>
      <c r="BU687" s="48"/>
      <c r="BV687" s="48"/>
      <c r="BW687" s="48"/>
      <c r="BX687" s="48"/>
      <c r="BY687" s="48"/>
      <c r="BZ687" s="48"/>
    </row>
    <row r="688" spans="1:78" ht="15.75" x14ac:dyDescent="0.25">
      <c r="A688" s="20"/>
      <c r="B688" s="47"/>
      <c r="C688" s="51"/>
      <c r="D688" s="51"/>
      <c r="E688" s="51"/>
      <c r="F688" s="48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8"/>
      <c r="BK688" s="48"/>
      <c r="BL688" s="48"/>
      <c r="BM688" s="48"/>
      <c r="BN688" s="48"/>
      <c r="BO688" s="48"/>
      <c r="BP688" s="48"/>
      <c r="BQ688" s="48"/>
      <c r="BR688" s="48"/>
      <c r="BS688" s="48"/>
      <c r="BT688" s="48"/>
      <c r="BU688" s="48"/>
      <c r="BV688" s="48"/>
      <c r="BW688" s="48"/>
      <c r="BX688" s="48"/>
      <c r="BY688" s="48"/>
      <c r="BZ688" s="48"/>
    </row>
    <row r="689" spans="1:78" ht="15.75" x14ac:dyDescent="0.25">
      <c r="A689" s="20"/>
      <c r="B689" s="47"/>
      <c r="C689" s="51"/>
      <c r="D689" s="51"/>
      <c r="E689" s="51"/>
      <c r="F689" s="48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8"/>
      <c r="BK689" s="48"/>
      <c r="BL689" s="48"/>
      <c r="BM689" s="48"/>
      <c r="BN689" s="48"/>
      <c r="BO689" s="48"/>
      <c r="BP689" s="48"/>
      <c r="BQ689" s="48"/>
      <c r="BR689" s="48"/>
      <c r="BS689" s="48"/>
      <c r="BT689" s="48"/>
      <c r="BU689" s="48"/>
      <c r="BV689" s="48"/>
      <c r="BW689" s="48"/>
      <c r="BX689" s="48"/>
      <c r="BY689" s="48"/>
      <c r="BZ689" s="48"/>
    </row>
    <row r="690" spans="1:78" ht="15.75" x14ac:dyDescent="0.25">
      <c r="A690" s="20"/>
      <c r="B690" s="47"/>
      <c r="C690" s="51"/>
      <c r="D690" s="51"/>
      <c r="E690" s="51"/>
      <c r="F690" s="48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8"/>
      <c r="BK690" s="48"/>
      <c r="BL690" s="48"/>
      <c r="BM690" s="48"/>
      <c r="BN690" s="48"/>
      <c r="BO690" s="48"/>
      <c r="BP690" s="48"/>
      <c r="BQ690" s="48"/>
      <c r="BR690" s="48"/>
      <c r="BS690" s="48"/>
      <c r="BT690" s="48"/>
      <c r="BU690" s="48"/>
      <c r="BV690" s="48"/>
      <c r="BW690" s="48"/>
      <c r="BX690" s="48"/>
      <c r="BY690" s="48"/>
      <c r="BZ690" s="48"/>
    </row>
    <row r="691" spans="1:78" ht="15.75" x14ac:dyDescent="0.25">
      <c r="A691" s="20"/>
      <c r="B691" s="47"/>
      <c r="C691" s="51"/>
      <c r="D691" s="51"/>
      <c r="E691" s="51"/>
      <c r="F691" s="48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8"/>
      <c r="BK691" s="48"/>
      <c r="BL691" s="48"/>
      <c r="BM691" s="48"/>
      <c r="BN691" s="48"/>
      <c r="BO691" s="48"/>
      <c r="BP691" s="48"/>
      <c r="BQ691" s="48"/>
      <c r="BR691" s="48"/>
      <c r="BS691" s="48"/>
      <c r="BT691" s="48"/>
      <c r="BU691" s="48"/>
      <c r="BV691" s="48"/>
      <c r="BW691" s="48"/>
      <c r="BX691" s="48"/>
      <c r="BY691" s="48"/>
      <c r="BZ691" s="48"/>
    </row>
    <row r="692" spans="1:78" ht="15.75" x14ac:dyDescent="0.25">
      <c r="A692" s="20"/>
      <c r="B692" s="47"/>
      <c r="C692" s="51"/>
      <c r="D692" s="51"/>
      <c r="E692" s="51"/>
      <c r="F692" s="48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8"/>
      <c r="BK692" s="48"/>
      <c r="BL692" s="48"/>
      <c r="BM692" s="48"/>
      <c r="BN692" s="48"/>
      <c r="BO692" s="48"/>
      <c r="BP692" s="48"/>
      <c r="BQ692" s="48"/>
      <c r="BR692" s="48"/>
      <c r="BS692" s="48"/>
      <c r="BT692" s="48"/>
      <c r="BU692" s="48"/>
      <c r="BV692" s="48"/>
      <c r="BW692" s="48"/>
      <c r="BX692" s="48"/>
      <c r="BY692" s="48"/>
      <c r="BZ692" s="48"/>
    </row>
    <row r="693" spans="1:78" ht="15.75" x14ac:dyDescent="0.25">
      <c r="A693" s="20"/>
      <c r="B693" s="47"/>
      <c r="C693" s="51"/>
      <c r="D693" s="51"/>
      <c r="E693" s="51"/>
      <c r="F693" s="48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8"/>
      <c r="BK693" s="48"/>
      <c r="BL693" s="48"/>
      <c r="BM693" s="48"/>
      <c r="BN693" s="48"/>
      <c r="BO693" s="48"/>
      <c r="BP693" s="48"/>
      <c r="BQ693" s="48"/>
      <c r="BR693" s="48"/>
      <c r="BS693" s="48"/>
      <c r="BT693" s="48"/>
      <c r="BU693" s="48"/>
      <c r="BV693" s="48"/>
      <c r="BW693" s="48"/>
      <c r="BX693" s="48"/>
      <c r="BY693" s="48"/>
      <c r="BZ693" s="48"/>
    </row>
    <row r="694" spans="1:78" ht="15.75" x14ac:dyDescent="0.25">
      <c r="A694" s="20"/>
      <c r="B694" s="47"/>
      <c r="C694" s="51"/>
      <c r="D694" s="51"/>
      <c r="E694" s="51"/>
      <c r="F694" s="48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48"/>
      <c r="BL694" s="48"/>
      <c r="BM694" s="48"/>
      <c r="BN694" s="48"/>
      <c r="BO694" s="48"/>
      <c r="BP694" s="48"/>
      <c r="BQ694" s="48"/>
      <c r="BR694" s="48"/>
      <c r="BS694" s="48"/>
      <c r="BT694" s="48"/>
      <c r="BU694" s="48"/>
      <c r="BV694" s="48"/>
      <c r="BW694" s="48"/>
      <c r="BX694" s="48"/>
      <c r="BY694" s="48"/>
      <c r="BZ694" s="48"/>
    </row>
    <row r="695" spans="1:78" ht="15.75" x14ac:dyDescent="0.25">
      <c r="A695" s="20"/>
      <c r="B695" s="47"/>
      <c r="C695" s="51"/>
      <c r="D695" s="51"/>
      <c r="E695" s="51"/>
      <c r="F695" s="48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8"/>
      <c r="BK695" s="48"/>
      <c r="BL695" s="48"/>
      <c r="BM695" s="48"/>
      <c r="BN695" s="48"/>
      <c r="BO695" s="48"/>
      <c r="BP695" s="48"/>
      <c r="BQ695" s="48"/>
      <c r="BR695" s="48"/>
      <c r="BS695" s="48"/>
      <c r="BT695" s="48"/>
      <c r="BU695" s="48"/>
      <c r="BV695" s="48"/>
      <c r="BW695" s="48"/>
      <c r="BX695" s="48"/>
      <c r="BY695" s="48"/>
      <c r="BZ695" s="48"/>
    </row>
    <row r="696" spans="1:78" ht="15.75" x14ac:dyDescent="0.25">
      <c r="A696" s="20"/>
      <c r="B696" s="47"/>
      <c r="C696" s="51"/>
      <c r="D696" s="51"/>
      <c r="E696" s="51"/>
      <c r="F696" s="48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8"/>
      <c r="BK696" s="48"/>
      <c r="BL696" s="48"/>
      <c r="BM696" s="48"/>
      <c r="BN696" s="48"/>
      <c r="BO696" s="48"/>
      <c r="BP696" s="48"/>
      <c r="BQ696" s="48"/>
      <c r="BR696" s="48"/>
      <c r="BS696" s="48"/>
      <c r="BT696" s="48"/>
      <c r="BU696" s="48"/>
      <c r="BV696" s="48"/>
      <c r="BW696" s="48"/>
      <c r="BX696" s="48"/>
      <c r="BY696" s="48"/>
      <c r="BZ696" s="48"/>
    </row>
    <row r="697" spans="1:78" ht="15.75" x14ac:dyDescent="0.25">
      <c r="A697" s="20"/>
      <c r="B697" s="47"/>
      <c r="C697" s="51"/>
      <c r="D697" s="51"/>
      <c r="E697" s="51"/>
      <c r="F697" s="48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48"/>
      <c r="BL697" s="48"/>
      <c r="BM697" s="48"/>
      <c r="BN697" s="48"/>
      <c r="BO697" s="48"/>
      <c r="BP697" s="48"/>
      <c r="BQ697" s="48"/>
      <c r="BR697" s="48"/>
      <c r="BS697" s="48"/>
      <c r="BT697" s="48"/>
      <c r="BU697" s="48"/>
      <c r="BV697" s="48"/>
      <c r="BW697" s="48"/>
      <c r="BX697" s="48"/>
      <c r="BY697" s="48"/>
      <c r="BZ697" s="48"/>
    </row>
    <row r="698" spans="1:78" ht="15.75" x14ac:dyDescent="0.25">
      <c r="A698" s="20"/>
      <c r="B698" s="47"/>
      <c r="C698" s="51"/>
      <c r="D698" s="51"/>
      <c r="E698" s="51"/>
      <c r="F698" s="48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8"/>
      <c r="BK698" s="48"/>
      <c r="BL698" s="48"/>
      <c r="BM698" s="48"/>
      <c r="BN698" s="48"/>
      <c r="BO698" s="48"/>
      <c r="BP698" s="48"/>
      <c r="BQ698" s="48"/>
      <c r="BR698" s="48"/>
      <c r="BS698" s="48"/>
      <c r="BT698" s="48"/>
      <c r="BU698" s="48"/>
      <c r="BV698" s="48"/>
      <c r="BW698" s="48"/>
      <c r="BX698" s="48"/>
      <c r="BY698" s="48"/>
      <c r="BZ698" s="48"/>
    </row>
    <row r="699" spans="1:78" ht="15.75" x14ac:dyDescent="0.25">
      <c r="A699" s="20"/>
      <c r="B699" s="47"/>
      <c r="C699" s="51"/>
      <c r="D699" s="51"/>
      <c r="E699" s="51"/>
      <c r="F699" s="48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8"/>
      <c r="BK699" s="48"/>
      <c r="BL699" s="48"/>
      <c r="BM699" s="48"/>
      <c r="BN699" s="48"/>
      <c r="BO699" s="48"/>
      <c r="BP699" s="48"/>
      <c r="BQ699" s="48"/>
      <c r="BR699" s="48"/>
      <c r="BS699" s="48"/>
      <c r="BT699" s="48"/>
      <c r="BU699" s="48"/>
      <c r="BV699" s="48"/>
      <c r="BW699" s="48"/>
      <c r="BX699" s="48"/>
      <c r="BY699" s="48"/>
      <c r="BZ699" s="48"/>
    </row>
    <row r="700" spans="1:78" ht="15.75" x14ac:dyDescent="0.25">
      <c r="A700" s="20"/>
      <c r="B700" s="47"/>
      <c r="C700" s="51"/>
      <c r="D700" s="51"/>
      <c r="E700" s="51"/>
      <c r="F700" s="48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8"/>
      <c r="BK700" s="48"/>
      <c r="BL700" s="48"/>
      <c r="BM700" s="48"/>
      <c r="BN700" s="48"/>
      <c r="BO700" s="48"/>
      <c r="BP700" s="48"/>
      <c r="BQ700" s="48"/>
      <c r="BR700" s="48"/>
      <c r="BS700" s="48"/>
      <c r="BT700" s="48"/>
      <c r="BU700" s="48"/>
      <c r="BV700" s="48"/>
      <c r="BW700" s="48"/>
      <c r="BX700" s="48"/>
      <c r="BY700" s="48"/>
      <c r="BZ700" s="48"/>
    </row>
    <row r="701" spans="1:78" ht="15.75" x14ac:dyDescent="0.25">
      <c r="A701" s="20"/>
      <c r="B701" s="47"/>
      <c r="C701" s="51"/>
      <c r="D701" s="51"/>
      <c r="E701" s="51"/>
      <c r="F701" s="48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8"/>
      <c r="BK701" s="48"/>
      <c r="BL701" s="48"/>
      <c r="BM701" s="48"/>
      <c r="BN701" s="48"/>
      <c r="BO701" s="48"/>
      <c r="BP701" s="48"/>
      <c r="BQ701" s="48"/>
      <c r="BR701" s="48"/>
      <c r="BS701" s="48"/>
      <c r="BT701" s="48"/>
      <c r="BU701" s="48"/>
      <c r="BV701" s="48"/>
      <c r="BW701" s="48"/>
      <c r="BX701" s="48"/>
      <c r="BY701" s="48"/>
      <c r="BZ701" s="48"/>
    </row>
    <row r="702" spans="1:78" ht="15.75" x14ac:dyDescent="0.25">
      <c r="A702" s="20"/>
      <c r="B702" s="47"/>
      <c r="C702" s="51"/>
      <c r="D702" s="51"/>
      <c r="E702" s="51"/>
      <c r="F702" s="48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8"/>
      <c r="BK702" s="48"/>
      <c r="BL702" s="48"/>
      <c r="BM702" s="48"/>
      <c r="BN702" s="48"/>
      <c r="BO702" s="48"/>
      <c r="BP702" s="48"/>
      <c r="BQ702" s="48"/>
      <c r="BR702" s="48"/>
      <c r="BS702" s="48"/>
      <c r="BT702" s="48"/>
      <c r="BU702" s="48"/>
      <c r="BV702" s="48"/>
      <c r="BW702" s="48"/>
      <c r="BX702" s="48"/>
      <c r="BY702" s="48"/>
      <c r="BZ702" s="48"/>
    </row>
    <row r="703" spans="1:78" ht="15.75" x14ac:dyDescent="0.25">
      <c r="A703" s="20"/>
      <c r="B703" s="47"/>
      <c r="C703" s="51"/>
      <c r="D703" s="51"/>
      <c r="E703" s="51"/>
      <c r="F703" s="48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8"/>
      <c r="BK703" s="48"/>
      <c r="BL703" s="48"/>
      <c r="BM703" s="48"/>
      <c r="BN703" s="48"/>
      <c r="BO703" s="48"/>
      <c r="BP703" s="48"/>
      <c r="BQ703" s="48"/>
      <c r="BR703" s="48"/>
      <c r="BS703" s="48"/>
      <c r="BT703" s="48"/>
      <c r="BU703" s="48"/>
      <c r="BV703" s="48"/>
      <c r="BW703" s="48"/>
      <c r="BX703" s="48"/>
      <c r="BY703" s="48"/>
      <c r="BZ703" s="48"/>
    </row>
    <row r="704" spans="1:78" ht="15.75" x14ac:dyDescent="0.25">
      <c r="A704" s="20"/>
      <c r="B704" s="47"/>
      <c r="C704" s="51"/>
      <c r="D704" s="51"/>
      <c r="E704" s="51"/>
      <c r="F704" s="48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8"/>
      <c r="BK704" s="48"/>
      <c r="BL704" s="48"/>
      <c r="BM704" s="48"/>
      <c r="BN704" s="48"/>
      <c r="BO704" s="48"/>
      <c r="BP704" s="48"/>
      <c r="BQ704" s="48"/>
      <c r="BR704" s="48"/>
      <c r="BS704" s="48"/>
      <c r="BT704" s="48"/>
      <c r="BU704" s="48"/>
      <c r="BV704" s="48"/>
      <c r="BW704" s="48"/>
      <c r="BX704" s="48"/>
      <c r="BY704" s="48"/>
      <c r="BZ704" s="48"/>
    </row>
    <row r="705" spans="1:78" ht="15.75" x14ac:dyDescent="0.25">
      <c r="A705" s="20"/>
      <c r="B705" s="47"/>
      <c r="C705" s="51"/>
      <c r="D705" s="51"/>
      <c r="E705" s="51"/>
      <c r="F705" s="48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8"/>
      <c r="BK705" s="48"/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  <c r="BZ705" s="48"/>
    </row>
    <row r="706" spans="1:78" ht="15.75" x14ac:dyDescent="0.25">
      <c r="A706" s="20"/>
      <c r="B706" s="47"/>
      <c r="C706" s="51"/>
      <c r="D706" s="51"/>
      <c r="E706" s="51"/>
      <c r="F706" s="48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48"/>
      <c r="BL706" s="48"/>
      <c r="BM706" s="48"/>
      <c r="BN706" s="48"/>
      <c r="BO706" s="48"/>
      <c r="BP706" s="48"/>
      <c r="BQ706" s="48"/>
      <c r="BR706" s="48"/>
      <c r="BS706" s="48"/>
      <c r="BT706" s="48"/>
      <c r="BU706" s="48"/>
      <c r="BV706" s="48"/>
      <c r="BW706" s="48"/>
      <c r="BX706" s="48"/>
      <c r="BY706" s="48"/>
      <c r="BZ706" s="48"/>
    </row>
    <row r="707" spans="1:78" ht="15.75" x14ac:dyDescent="0.25">
      <c r="A707" s="20"/>
      <c r="B707" s="47"/>
      <c r="C707" s="51"/>
      <c r="D707" s="51"/>
      <c r="E707" s="51"/>
      <c r="F707" s="48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8"/>
      <c r="BK707" s="48"/>
      <c r="BL707" s="48"/>
      <c r="BM707" s="48"/>
      <c r="BN707" s="48"/>
      <c r="BO707" s="48"/>
      <c r="BP707" s="48"/>
      <c r="BQ707" s="48"/>
      <c r="BR707" s="48"/>
      <c r="BS707" s="48"/>
      <c r="BT707" s="48"/>
      <c r="BU707" s="48"/>
      <c r="BV707" s="48"/>
      <c r="BW707" s="48"/>
      <c r="BX707" s="48"/>
      <c r="BY707" s="48"/>
      <c r="BZ707" s="48"/>
    </row>
    <row r="708" spans="1:78" ht="15.75" x14ac:dyDescent="0.25">
      <c r="A708" s="20"/>
      <c r="B708" s="47"/>
      <c r="C708" s="51"/>
      <c r="D708" s="51"/>
      <c r="E708" s="51"/>
      <c r="F708" s="48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48"/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</row>
    <row r="709" spans="1:78" ht="15.75" x14ac:dyDescent="0.25">
      <c r="A709" s="20"/>
      <c r="B709" s="47"/>
      <c r="C709" s="51"/>
      <c r="D709" s="51"/>
      <c r="E709" s="51"/>
      <c r="F709" s="48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48"/>
      <c r="BL709" s="48"/>
      <c r="BM709" s="48"/>
      <c r="BN709" s="48"/>
      <c r="BO709" s="48"/>
      <c r="BP709" s="48"/>
      <c r="BQ709" s="48"/>
      <c r="BR709" s="48"/>
      <c r="BS709" s="48"/>
      <c r="BT709" s="48"/>
      <c r="BU709" s="48"/>
      <c r="BV709" s="48"/>
      <c r="BW709" s="48"/>
      <c r="BX709" s="48"/>
      <c r="BY709" s="48"/>
      <c r="BZ709" s="48"/>
    </row>
    <row r="710" spans="1:78" ht="15.75" x14ac:dyDescent="0.25">
      <c r="A710" s="20"/>
      <c r="B710" s="47"/>
      <c r="C710" s="51"/>
      <c r="D710" s="51"/>
      <c r="E710" s="51"/>
      <c r="F710" s="48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8"/>
      <c r="BK710" s="48"/>
      <c r="BL710" s="48"/>
      <c r="BM710" s="48"/>
      <c r="BN710" s="48"/>
      <c r="BO710" s="48"/>
      <c r="BP710" s="48"/>
      <c r="BQ710" s="48"/>
      <c r="BR710" s="48"/>
      <c r="BS710" s="48"/>
      <c r="BT710" s="48"/>
      <c r="BU710" s="48"/>
      <c r="BV710" s="48"/>
      <c r="BW710" s="48"/>
      <c r="BX710" s="48"/>
      <c r="BY710" s="48"/>
      <c r="BZ710" s="48"/>
    </row>
    <row r="711" spans="1:78" ht="15.75" x14ac:dyDescent="0.25">
      <c r="A711" s="20"/>
      <c r="B711" s="47"/>
      <c r="C711" s="51"/>
      <c r="D711" s="51"/>
      <c r="E711" s="51"/>
      <c r="F711" s="48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8"/>
      <c r="BK711" s="48"/>
      <c r="BL711" s="48"/>
      <c r="BM711" s="48"/>
      <c r="BN711" s="48"/>
      <c r="BO711" s="48"/>
      <c r="BP711" s="48"/>
      <c r="BQ711" s="48"/>
      <c r="BR711" s="48"/>
      <c r="BS711" s="48"/>
      <c r="BT711" s="48"/>
      <c r="BU711" s="48"/>
      <c r="BV711" s="48"/>
      <c r="BW711" s="48"/>
      <c r="BX711" s="48"/>
      <c r="BY711" s="48"/>
      <c r="BZ711" s="48"/>
    </row>
    <row r="712" spans="1:78" ht="15.75" x14ac:dyDescent="0.25">
      <c r="A712" s="20"/>
      <c r="B712" s="47"/>
      <c r="C712" s="51"/>
      <c r="D712" s="51"/>
      <c r="E712" s="51"/>
      <c r="F712" s="48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48"/>
      <c r="BL712" s="48"/>
      <c r="BM712" s="48"/>
      <c r="BN712" s="48"/>
      <c r="BO712" s="48"/>
      <c r="BP712" s="48"/>
      <c r="BQ712" s="48"/>
      <c r="BR712" s="48"/>
      <c r="BS712" s="48"/>
      <c r="BT712" s="48"/>
      <c r="BU712" s="48"/>
      <c r="BV712" s="48"/>
      <c r="BW712" s="48"/>
      <c r="BX712" s="48"/>
      <c r="BY712" s="48"/>
      <c r="BZ712" s="48"/>
    </row>
    <row r="713" spans="1:78" ht="15.75" x14ac:dyDescent="0.25">
      <c r="A713" s="20"/>
      <c r="B713" s="47"/>
      <c r="C713" s="51"/>
      <c r="D713" s="51"/>
      <c r="E713" s="51"/>
      <c r="F713" s="48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8"/>
      <c r="BK713" s="48"/>
      <c r="BL713" s="48"/>
      <c r="BM713" s="48"/>
      <c r="BN713" s="48"/>
      <c r="BO713" s="48"/>
      <c r="BP713" s="48"/>
      <c r="BQ713" s="48"/>
      <c r="BR713" s="48"/>
      <c r="BS713" s="48"/>
      <c r="BT713" s="48"/>
      <c r="BU713" s="48"/>
      <c r="BV713" s="48"/>
      <c r="BW713" s="48"/>
      <c r="BX713" s="48"/>
      <c r="BY713" s="48"/>
      <c r="BZ713" s="48"/>
    </row>
    <row r="714" spans="1:78" ht="15.75" x14ac:dyDescent="0.25">
      <c r="A714" s="20"/>
      <c r="B714" s="47"/>
      <c r="C714" s="51"/>
      <c r="D714" s="51"/>
      <c r="E714" s="51"/>
      <c r="F714" s="48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8"/>
      <c r="BK714" s="48"/>
      <c r="BL714" s="48"/>
      <c r="BM714" s="48"/>
      <c r="BN714" s="48"/>
      <c r="BO714" s="48"/>
      <c r="BP714" s="48"/>
      <c r="BQ714" s="48"/>
      <c r="BR714" s="48"/>
      <c r="BS714" s="48"/>
      <c r="BT714" s="48"/>
      <c r="BU714" s="48"/>
      <c r="BV714" s="48"/>
      <c r="BW714" s="48"/>
      <c r="BX714" s="48"/>
      <c r="BY714" s="48"/>
      <c r="BZ714" s="48"/>
    </row>
    <row r="715" spans="1:78" ht="15.75" x14ac:dyDescent="0.25">
      <c r="A715" s="20"/>
      <c r="B715" s="47"/>
      <c r="C715" s="51"/>
      <c r="D715" s="51"/>
      <c r="E715" s="51"/>
      <c r="F715" s="48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48"/>
      <c r="BL715" s="48"/>
      <c r="BM715" s="48"/>
      <c r="BN715" s="48"/>
      <c r="BO715" s="48"/>
      <c r="BP715" s="48"/>
      <c r="BQ715" s="48"/>
      <c r="BR715" s="48"/>
      <c r="BS715" s="48"/>
      <c r="BT715" s="48"/>
      <c r="BU715" s="48"/>
      <c r="BV715" s="48"/>
      <c r="BW715" s="48"/>
      <c r="BX715" s="48"/>
      <c r="BY715" s="48"/>
      <c r="BZ715" s="48"/>
    </row>
    <row r="716" spans="1:78" ht="15.75" x14ac:dyDescent="0.25">
      <c r="A716" s="20"/>
      <c r="B716" s="47"/>
      <c r="C716" s="51"/>
      <c r="D716" s="51"/>
      <c r="E716" s="51"/>
      <c r="F716" s="48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48"/>
      <c r="BL716" s="48"/>
      <c r="BM716" s="48"/>
      <c r="BN716" s="48"/>
      <c r="BO716" s="48"/>
      <c r="BP716" s="48"/>
      <c r="BQ716" s="48"/>
      <c r="BR716" s="48"/>
      <c r="BS716" s="48"/>
      <c r="BT716" s="48"/>
      <c r="BU716" s="48"/>
      <c r="BV716" s="48"/>
      <c r="BW716" s="48"/>
      <c r="BX716" s="48"/>
      <c r="BY716" s="48"/>
      <c r="BZ716" s="48"/>
    </row>
    <row r="717" spans="1:78" ht="15.75" x14ac:dyDescent="0.25">
      <c r="A717" s="20"/>
      <c r="B717" s="47"/>
      <c r="C717" s="51"/>
      <c r="D717" s="51"/>
      <c r="E717" s="51"/>
      <c r="F717" s="48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8"/>
      <c r="BK717" s="48"/>
      <c r="BL717" s="48"/>
      <c r="BM717" s="48"/>
      <c r="BN717" s="48"/>
      <c r="BO717" s="48"/>
      <c r="BP717" s="48"/>
      <c r="BQ717" s="48"/>
      <c r="BR717" s="48"/>
      <c r="BS717" s="48"/>
      <c r="BT717" s="48"/>
      <c r="BU717" s="48"/>
      <c r="BV717" s="48"/>
      <c r="BW717" s="48"/>
      <c r="BX717" s="48"/>
      <c r="BY717" s="48"/>
      <c r="BZ717" s="48"/>
    </row>
    <row r="718" spans="1:78" ht="15.75" x14ac:dyDescent="0.25">
      <c r="A718" s="20"/>
      <c r="B718" s="47"/>
      <c r="C718" s="51"/>
      <c r="D718" s="51"/>
      <c r="E718" s="51"/>
      <c r="F718" s="48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8"/>
      <c r="BK718" s="48"/>
      <c r="BL718" s="48"/>
      <c r="BM718" s="48"/>
      <c r="BN718" s="48"/>
      <c r="BO718" s="48"/>
      <c r="BP718" s="48"/>
      <c r="BQ718" s="48"/>
      <c r="BR718" s="48"/>
      <c r="BS718" s="48"/>
      <c r="BT718" s="48"/>
      <c r="BU718" s="48"/>
      <c r="BV718" s="48"/>
      <c r="BW718" s="48"/>
      <c r="BX718" s="48"/>
      <c r="BY718" s="48"/>
      <c r="BZ718" s="48"/>
    </row>
    <row r="719" spans="1:78" ht="15.75" x14ac:dyDescent="0.25">
      <c r="A719" s="20"/>
      <c r="B719" s="47"/>
      <c r="C719" s="51"/>
      <c r="D719" s="51"/>
      <c r="E719" s="51"/>
      <c r="F719" s="48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8"/>
      <c r="BK719" s="48"/>
      <c r="BL719" s="48"/>
      <c r="BM719" s="48"/>
      <c r="BN719" s="48"/>
      <c r="BO719" s="48"/>
      <c r="BP719" s="48"/>
      <c r="BQ719" s="48"/>
      <c r="BR719" s="48"/>
      <c r="BS719" s="48"/>
      <c r="BT719" s="48"/>
      <c r="BU719" s="48"/>
      <c r="BV719" s="48"/>
      <c r="BW719" s="48"/>
      <c r="BX719" s="48"/>
      <c r="BY719" s="48"/>
      <c r="BZ719" s="48"/>
    </row>
    <row r="720" spans="1:78" ht="15.75" x14ac:dyDescent="0.25">
      <c r="A720" s="20"/>
      <c r="B720" s="47"/>
      <c r="C720" s="51"/>
      <c r="D720" s="51"/>
      <c r="E720" s="51"/>
      <c r="F720" s="48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8"/>
      <c r="BK720" s="48"/>
      <c r="BL720" s="48"/>
      <c r="BM720" s="48"/>
      <c r="BN720" s="48"/>
      <c r="BO720" s="48"/>
      <c r="BP720" s="48"/>
      <c r="BQ720" s="48"/>
      <c r="BR720" s="48"/>
      <c r="BS720" s="48"/>
      <c r="BT720" s="48"/>
      <c r="BU720" s="48"/>
      <c r="BV720" s="48"/>
      <c r="BW720" s="48"/>
      <c r="BX720" s="48"/>
      <c r="BY720" s="48"/>
      <c r="BZ720" s="48"/>
    </row>
    <row r="721" spans="1:78" ht="15.75" x14ac:dyDescent="0.25">
      <c r="A721" s="20"/>
      <c r="B721" s="47"/>
      <c r="C721" s="51"/>
      <c r="D721" s="51"/>
      <c r="E721" s="51"/>
      <c r="F721" s="48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8"/>
      <c r="BK721" s="48"/>
      <c r="BL721" s="48"/>
      <c r="BM721" s="48"/>
      <c r="BN721" s="48"/>
      <c r="BO721" s="48"/>
      <c r="BP721" s="48"/>
      <c r="BQ721" s="48"/>
      <c r="BR721" s="48"/>
      <c r="BS721" s="48"/>
      <c r="BT721" s="48"/>
      <c r="BU721" s="48"/>
      <c r="BV721" s="48"/>
      <c r="BW721" s="48"/>
      <c r="BX721" s="48"/>
      <c r="BY721" s="48"/>
      <c r="BZ721" s="48"/>
    </row>
    <row r="722" spans="1:78" ht="15.75" x14ac:dyDescent="0.25">
      <c r="A722" s="20"/>
      <c r="B722" s="47"/>
      <c r="C722" s="51"/>
      <c r="D722" s="51"/>
      <c r="E722" s="51"/>
      <c r="F722" s="48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8"/>
      <c r="BK722" s="48"/>
      <c r="BL722" s="48"/>
      <c r="BM722" s="48"/>
      <c r="BN722" s="48"/>
      <c r="BO722" s="48"/>
      <c r="BP722" s="48"/>
      <c r="BQ722" s="48"/>
      <c r="BR722" s="48"/>
      <c r="BS722" s="48"/>
      <c r="BT722" s="48"/>
      <c r="BU722" s="48"/>
      <c r="BV722" s="48"/>
      <c r="BW722" s="48"/>
      <c r="BX722" s="48"/>
      <c r="BY722" s="48"/>
      <c r="BZ722" s="48"/>
    </row>
    <row r="723" spans="1:78" ht="15.75" x14ac:dyDescent="0.25">
      <c r="A723" s="20"/>
      <c r="B723" s="47"/>
      <c r="C723" s="51"/>
      <c r="D723" s="51"/>
      <c r="E723" s="51"/>
      <c r="F723" s="48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8"/>
      <c r="BK723" s="48"/>
      <c r="BL723" s="48"/>
      <c r="BM723" s="48"/>
      <c r="BN723" s="48"/>
      <c r="BO723" s="48"/>
      <c r="BP723" s="48"/>
      <c r="BQ723" s="48"/>
      <c r="BR723" s="48"/>
      <c r="BS723" s="48"/>
      <c r="BT723" s="48"/>
      <c r="BU723" s="48"/>
      <c r="BV723" s="48"/>
      <c r="BW723" s="48"/>
      <c r="BX723" s="48"/>
      <c r="BY723" s="48"/>
      <c r="BZ723" s="48"/>
    </row>
    <row r="724" spans="1:78" ht="15.75" x14ac:dyDescent="0.25">
      <c r="A724" s="20"/>
      <c r="B724" s="47"/>
      <c r="C724" s="51"/>
      <c r="D724" s="51"/>
      <c r="E724" s="51"/>
      <c r="F724" s="48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8"/>
      <c r="BK724" s="48"/>
      <c r="BL724" s="48"/>
      <c r="BM724" s="48"/>
      <c r="BN724" s="48"/>
      <c r="BO724" s="48"/>
      <c r="BP724" s="48"/>
      <c r="BQ724" s="48"/>
      <c r="BR724" s="48"/>
      <c r="BS724" s="48"/>
      <c r="BT724" s="48"/>
      <c r="BU724" s="48"/>
      <c r="BV724" s="48"/>
      <c r="BW724" s="48"/>
      <c r="BX724" s="48"/>
      <c r="BY724" s="48"/>
      <c r="BZ724" s="48"/>
    </row>
    <row r="725" spans="1:78" ht="15.75" x14ac:dyDescent="0.25">
      <c r="A725" s="20"/>
      <c r="B725" s="47"/>
      <c r="C725" s="51"/>
      <c r="D725" s="51"/>
      <c r="E725" s="51"/>
      <c r="F725" s="48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8"/>
      <c r="BK725" s="48"/>
      <c r="BL725" s="48"/>
      <c r="BM725" s="48"/>
      <c r="BN725" s="48"/>
      <c r="BO725" s="48"/>
      <c r="BP725" s="48"/>
      <c r="BQ725" s="48"/>
      <c r="BR725" s="48"/>
      <c r="BS725" s="48"/>
      <c r="BT725" s="48"/>
      <c r="BU725" s="48"/>
      <c r="BV725" s="48"/>
      <c r="BW725" s="48"/>
      <c r="BX725" s="48"/>
      <c r="BY725" s="48"/>
      <c r="BZ725" s="48"/>
    </row>
    <row r="726" spans="1:78" ht="15.75" x14ac:dyDescent="0.25">
      <c r="A726" s="20"/>
      <c r="B726" s="47"/>
      <c r="C726" s="51"/>
      <c r="D726" s="51"/>
      <c r="E726" s="51"/>
      <c r="F726" s="48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8"/>
      <c r="BK726" s="48"/>
      <c r="BL726" s="48"/>
      <c r="BM726" s="48"/>
      <c r="BN726" s="48"/>
      <c r="BO726" s="48"/>
      <c r="BP726" s="48"/>
      <c r="BQ726" s="48"/>
      <c r="BR726" s="48"/>
      <c r="BS726" s="48"/>
      <c r="BT726" s="48"/>
      <c r="BU726" s="48"/>
      <c r="BV726" s="48"/>
      <c r="BW726" s="48"/>
      <c r="BX726" s="48"/>
      <c r="BY726" s="48"/>
      <c r="BZ726" s="48"/>
    </row>
    <row r="727" spans="1:78" ht="15.75" x14ac:dyDescent="0.25">
      <c r="A727" s="20"/>
      <c r="B727" s="47"/>
      <c r="C727" s="51"/>
      <c r="D727" s="51"/>
      <c r="E727" s="51"/>
      <c r="F727" s="48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8"/>
      <c r="BK727" s="48"/>
      <c r="BL727" s="48"/>
      <c r="BM727" s="48"/>
      <c r="BN727" s="48"/>
      <c r="BO727" s="48"/>
      <c r="BP727" s="48"/>
      <c r="BQ727" s="48"/>
      <c r="BR727" s="48"/>
      <c r="BS727" s="48"/>
      <c r="BT727" s="48"/>
      <c r="BU727" s="48"/>
      <c r="BV727" s="48"/>
      <c r="BW727" s="48"/>
      <c r="BX727" s="48"/>
      <c r="BY727" s="48"/>
      <c r="BZ727" s="48"/>
    </row>
    <row r="728" spans="1:78" ht="15.75" x14ac:dyDescent="0.25">
      <c r="A728" s="20"/>
      <c r="B728" s="47"/>
      <c r="C728" s="51"/>
      <c r="D728" s="51"/>
      <c r="E728" s="51"/>
      <c r="F728" s="48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48"/>
      <c r="BL728" s="48"/>
      <c r="BM728" s="48"/>
      <c r="BN728" s="48"/>
      <c r="BO728" s="48"/>
      <c r="BP728" s="48"/>
      <c r="BQ728" s="48"/>
      <c r="BR728" s="48"/>
      <c r="BS728" s="48"/>
      <c r="BT728" s="48"/>
      <c r="BU728" s="48"/>
      <c r="BV728" s="48"/>
      <c r="BW728" s="48"/>
      <c r="BX728" s="48"/>
      <c r="BY728" s="48"/>
      <c r="BZ728" s="48"/>
    </row>
    <row r="729" spans="1:78" ht="15.75" x14ac:dyDescent="0.25">
      <c r="A729" s="20"/>
      <c r="B729" s="47"/>
      <c r="C729" s="51"/>
      <c r="D729" s="51"/>
      <c r="E729" s="51"/>
      <c r="F729" s="48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8"/>
      <c r="BK729" s="48"/>
      <c r="BL729" s="48"/>
      <c r="BM729" s="48"/>
      <c r="BN729" s="48"/>
      <c r="BO729" s="48"/>
      <c r="BP729" s="48"/>
      <c r="BQ729" s="48"/>
      <c r="BR729" s="48"/>
      <c r="BS729" s="48"/>
      <c r="BT729" s="48"/>
      <c r="BU729" s="48"/>
      <c r="BV729" s="48"/>
      <c r="BW729" s="48"/>
      <c r="BX729" s="48"/>
      <c r="BY729" s="48"/>
      <c r="BZ729" s="48"/>
    </row>
    <row r="730" spans="1:78" ht="15.75" x14ac:dyDescent="0.25">
      <c r="A730" s="20"/>
      <c r="B730" s="47"/>
      <c r="C730" s="51"/>
      <c r="D730" s="51"/>
      <c r="E730" s="51"/>
      <c r="F730" s="48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48"/>
      <c r="BL730" s="48"/>
      <c r="BM730" s="48"/>
      <c r="BN730" s="48"/>
      <c r="BO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  <c r="BZ730" s="48"/>
    </row>
    <row r="731" spans="1:78" ht="15.75" x14ac:dyDescent="0.25">
      <c r="A731" s="20"/>
      <c r="B731" s="47"/>
      <c r="C731" s="51"/>
      <c r="D731" s="51"/>
      <c r="E731" s="51"/>
      <c r="F731" s="48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8"/>
      <c r="BK731" s="48"/>
      <c r="BL731" s="48"/>
      <c r="BM731" s="48"/>
      <c r="BN731" s="48"/>
      <c r="BO731" s="48"/>
      <c r="BP731" s="48"/>
      <c r="BQ731" s="48"/>
      <c r="BR731" s="48"/>
      <c r="BS731" s="48"/>
      <c r="BT731" s="48"/>
      <c r="BU731" s="48"/>
      <c r="BV731" s="48"/>
      <c r="BW731" s="48"/>
      <c r="BX731" s="48"/>
      <c r="BY731" s="48"/>
      <c r="BZ731" s="48"/>
    </row>
    <row r="732" spans="1:78" ht="15.75" x14ac:dyDescent="0.25">
      <c r="A732" s="20"/>
      <c r="B732" s="47"/>
      <c r="C732" s="51"/>
      <c r="D732" s="51"/>
      <c r="E732" s="51"/>
      <c r="F732" s="48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8"/>
      <c r="BK732" s="48"/>
      <c r="BL732" s="48"/>
      <c r="BM732" s="48"/>
      <c r="BN732" s="48"/>
      <c r="BO732" s="48"/>
      <c r="BP732" s="48"/>
      <c r="BQ732" s="48"/>
      <c r="BR732" s="48"/>
      <c r="BS732" s="48"/>
      <c r="BT732" s="48"/>
      <c r="BU732" s="48"/>
      <c r="BV732" s="48"/>
      <c r="BW732" s="48"/>
      <c r="BX732" s="48"/>
      <c r="BY732" s="48"/>
      <c r="BZ732" s="48"/>
    </row>
    <row r="733" spans="1:78" ht="15.75" x14ac:dyDescent="0.25">
      <c r="A733" s="20"/>
      <c r="B733" s="47"/>
      <c r="C733" s="51"/>
      <c r="D733" s="51"/>
      <c r="E733" s="51"/>
      <c r="F733" s="48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48"/>
      <c r="BL733" s="48"/>
      <c r="BM733" s="48"/>
      <c r="BN733" s="48"/>
      <c r="BO733" s="48"/>
      <c r="BP733" s="48"/>
      <c r="BQ733" s="48"/>
      <c r="BR733" s="48"/>
      <c r="BS733" s="48"/>
      <c r="BT733" s="48"/>
      <c r="BU733" s="48"/>
      <c r="BV733" s="48"/>
      <c r="BW733" s="48"/>
      <c r="BX733" s="48"/>
      <c r="BY733" s="48"/>
      <c r="BZ733" s="48"/>
    </row>
    <row r="734" spans="1:78" ht="15.75" x14ac:dyDescent="0.25">
      <c r="A734" s="20"/>
      <c r="B734" s="47"/>
      <c r="C734" s="51"/>
      <c r="D734" s="51"/>
      <c r="E734" s="51"/>
      <c r="F734" s="48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8"/>
      <c r="BK734" s="48"/>
      <c r="BL734" s="48"/>
      <c r="BM734" s="48"/>
      <c r="BN734" s="48"/>
      <c r="BO734" s="48"/>
      <c r="BP734" s="48"/>
      <c r="BQ734" s="48"/>
      <c r="BR734" s="48"/>
      <c r="BS734" s="48"/>
      <c r="BT734" s="48"/>
      <c r="BU734" s="48"/>
      <c r="BV734" s="48"/>
      <c r="BW734" s="48"/>
      <c r="BX734" s="48"/>
      <c r="BY734" s="48"/>
      <c r="BZ734" s="48"/>
    </row>
    <row r="735" spans="1:78" ht="15.75" x14ac:dyDescent="0.25">
      <c r="A735" s="20"/>
      <c r="B735" s="47"/>
      <c r="C735" s="51"/>
      <c r="D735" s="51"/>
      <c r="E735" s="51"/>
      <c r="F735" s="48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8"/>
      <c r="BK735" s="48"/>
      <c r="BL735" s="48"/>
      <c r="BM735" s="48"/>
      <c r="BN735" s="48"/>
      <c r="BO735" s="48"/>
      <c r="BP735" s="48"/>
      <c r="BQ735" s="48"/>
      <c r="BR735" s="48"/>
      <c r="BS735" s="48"/>
      <c r="BT735" s="48"/>
      <c r="BU735" s="48"/>
      <c r="BV735" s="48"/>
      <c r="BW735" s="48"/>
      <c r="BX735" s="48"/>
      <c r="BY735" s="48"/>
      <c r="BZ735" s="48"/>
    </row>
    <row r="736" spans="1:78" ht="15.75" x14ac:dyDescent="0.25">
      <c r="A736" s="20"/>
      <c r="B736" s="47"/>
      <c r="C736" s="51"/>
      <c r="D736" s="51"/>
      <c r="E736" s="51"/>
      <c r="F736" s="48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48"/>
      <c r="BL736" s="48"/>
      <c r="BM736" s="48"/>
      <c r="BN736" s="48"/>
      <c r="BO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  <c r="BZ736" s="48"/>
    </row>
    <row r="737" spans="1:78" ht="15.75" x14ac:dyDescent="0.25">
      <c r="A737" s="20"/>
      <c r="B737" s="47"/>
      <c r="C737" s="51"/>
      <c r="D737" s="51"/>
      <c r="E737" s="51"/>
      <c r="F737" s="48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8"/>
      <c r="BK737" s="48"/>
      <c r="BL737" s="48"/>
      <c r="BM737" s="48"/>
      <c r="BN737" s="48"/>
      <c r="BO737" s="48"/>
      <c r="BP737" s="48"/>
      <c r="BQ737" s="48"/>
      <c r="BR737" s="48"/>
      <c r="BS737" s="48"/>
      <c r="BT737" s="48"/>
      <c r="BU737" s="48"/>
      <c r="BV737" s="48"/>
      <c r="BW737" s="48"/>
      <c r="BX737" s="48"/>
      <c r="BY737" s="48"/>
      <c r="BZ737" s="48"/>
    </row>
    <row r="738" spans="1:78" ht="15.75" x14ac:dyDescent="0.25">
      <c r="A738" s="20"/>
      <c r="B738" s="47"/>
      <c r="C738" s="51"/>
      <c r="D738" s="51"/>
      <c r="E738" s="51"/>
      <c r="F738" s="48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8"/>
      <c r="BK738" s="48"/>
      <c r="BL738" s="48"/>
      <c r="BM738" s="48"/>
      <c r="BN738" s="48"/>
      <c r="BO738" s="48"/>
      <c r="BP738" s="48"/>
      <c r="BQ738" s="48"/>
      <c r="BR738" s="48"/>
      <c r="BS738" s="48"/>
      <c r="BT738" s="48"/>
      <c r="BU738" s="48"/>
      <c r="BV738" s="48"/>
      <c r="BW738" s="48"/>
      <c r="BX738" s="48"/>
      <c r="BY738" s="48"/>
      <c r="BZ738" s="48"/>
    </row>
    <row r="739" spans="1:78" ht="15.75" x14ac:dyDescent="0.25">
      <c r="A739" s="20"/>
      <c r="B739" s="47"/>
      <c r="C739" s="51"/>
      <c r="D739" s="51"/>
      <c r="E739" s="51"/>
      <c r="F739" s="48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48"/>
      <c r="BL739" s="48"/>
      <c r="BM739" s="48"/>
      <c r="BN739" s="48"/>
      <c r="BO739" s="48"/>
      <c r="BP739" s="48"/>
      <c r="BQ739" s="48"/>
      <c r="BR739" s="48"/>
      <c r="BS739" s="48"/>
      <c r="BT739" s="48"/>
      <c r="BU739" s="48"/>
      <c r="BV739" s="48"/>
      <c r="BW739" s="48"/>
      <c r="BX739" s="48"/>
      <c r="BY739" s="48"/>
      <c r="BZ739" s="48"/>
    </row>
    <row r="740" spans="1:78" ht="15.75" x14ac:dyDescent="0.25">
      <c r="A740" s="20"/>
      <c r="B740" s="47"/>
      <c r="C740" s="51"/>
      <c r="D740" s="51"/>
      <c r="E740" s="51"/>
      <c r="F740" s="48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8"/>
      <c r="BK740" s="48"/>
      <c r="BL740" s="48"/>
      <c r="BM740" s="48"/>
      <c r="BN740" s="48"/>
      <c r="BO740" s="48"/>
      <c r="BP740" s="48"/>
      <c r="BQ740" s="48"/>
      <c r="BR740" s="48"/>
      <c r="BS740" s="48"/>
      <c r="BT740" s="48"/>
      <c r="BU740" s="48"/>
      <c r="BV740" s="48"/>
      <c r="BW740" s="48"/>
      <c r="BX740" s="48"/>
      <c r="BY740" s="48"/>
      <c r="BZ740" s="48"/>
    </row>
    <row r="741" spans="1:78" ht="15.75" x14ac:dyDescent="0.25">
      <c r="A741" s="20"/>
      <c r="B741" s="47"/>
      <c r="C741" s="51"/>
      <c r="D741" s="51"/>
      <c r="E741" s="51"/>
      <c r="F741" s="48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8"/>
      <c r="BK741" s="48"/>
      <c r="BL741" s="48"/>
      <c r="BM741" s="48"/>
      <c r="BN741" s="48"/>
      <c r="BO741" s="48"/>
      <c r="BP741" s="48"/>
      <c r="BQ741" s="48"/>
      <c r="BR741" s="48"/>
      <c r="BS741" s="48"/>
      <c r="BT741" s="48"/>
      <c r="BU741" s="48"/>
      <c r="BV741" s="48"/>
      <c r="BW741" s="48"/>
      <c r="BX741" s="48"/>
      <c r="BY741" s="48"/>
      <c r="BZ741" s="48"/>
    </row>
    <row r="742" spans="1:78" ht="15.75" x14ac:dyDescent="0.25">
      <c r="A742" s="20"/>
      <c r="B742" s="47"/>
      <c r="C742" s="51"/>
      <c r="D742" s="51"/>
      <c r="E742" s="51"/>
      <c r="F742" s="48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8"/>
      <c r="BN742" s="48"/>
      <c r="BO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48"/>
    </row>
    <row r="743" spans="1:78" ht="15.75" x14ac:dyDescent="0.25">
      <c r="A743" s="20"/>
      <c r="B743" s="47"/>
      <c r="C743" s="51"/>
      <c r="D743" s="51"/>
      <c r="E743" s="51"/>
      <c r="F743" s="48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48"/>
      <c r="BL743" s="48"/>
      <c r="BM743" s="48"/>
      <c r="BN743" s="48"/>
      <c r="BO743" s="48"/>
      <c r="BP743" s="48"/>
      <c r="BQ743" s="48"/>
      <c r="BR743" s="48"/>
      <c r="BS743" s="48"/>
      <c r="BT743" s="48"/>
      <c r="BU743" s="48"/>
      <c r="BV743" s="48"/>
      <c r="BW743" s="48"/>
      <c r="BX743" s="48"/>
      <c r="BY743" s="48"/>
      <c r="BZ743" s="48"/>
    </row>
    <row r="744" spans="1:78" ht="15.75" x14ac:dyDescent="0.25">
      <c r="A744" s="20"/>
      <c r="B744" s="47"/>
      <c r="C744" s="51"/>
      <c r="D744" s="51"/>
      <c r="E744" s="51"/>
      <c r="F744" s="48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48"/>
      <c r="BL744" s="48"/>
      <c r="BM744" s="48"/>
      <c r="BN744" s="48"/>
      <c r="BO744" s="48"/>
      <c r="BP744" s="48"/>
      <c r="BQ744" s="48"/>
      <c r="BR744" s="48"/>
      <c r="BS744" s="48"/>
      <c r="BT744" s="48"/>
      <c r="BU744" s="48"/>
      <c r="BV744" s="48"/>
      <c r="BW744" s="48"/>
      <c r="BX744" s="48"/>
      <c r="BY744" s="48"/>
      <c r="BZ744" s="48"/>
    </row>
    <row r="745" spans="1:78" ht="15.75" x14ac:dyDescent="0.25">
      <c r="A745" s="20"/>
      <c r="B745" s="47"/>
      <c r="C745" s="51"/>
      <c r="D745" s="51"/>
      <c r="E745" s="51"/>
      <c r="F745" s="48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8"/>
      <c r="BK745" s="48"/>
      <c r="BL745" s="48"/>
      <c r="BM745" s="48"/>
      <c r="BN745" s="48"/>
      <c r="BO745" s="48"/>
      <c r="BP745" s="48"/>
      <c r="BQ745" s="48"/>
      <c r="BR745" s="48"/>
      <c r="BS745" s="48"/>
      <c r="BT745" s="48"/>
      <c r="BU745" s="48"/>
      <c r="BV745" s="48"/>
      <c r="BW745" s="48"/>
      <c r="BX745" s="48"/>
      <c r="BY745" s="48"/>
      <c r="BZ745" s="48"/>
    </row>
    <row r="746" spans="1:78" ht="15.75" x14ac:dyDescent="0.25">
      <c r="A746" s="20"/>
      <c r="B746" s="47"/>
      <c r="C746" s="51"/>
      <c r="D746" s="51"/>
      <c r="E746" s="51"/>
      <c r="F746" s="48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8"/>
      <c r="BK746" s="48"/>
      <c r="BL746" s="48"/>
      <c r="BM746" s="48"/>
      <c r="BN746" s="48"/>
      <c r="BO746" s="48"/>
      <c r="BP746" s="48"/>
      <c r="BQ746" s="48"/>
      <c r="BR746" s="48"/>
      <c r="BS746" s="48"/>
      <c r="BT746" s="48"/>
      <c r="BU746" s="48"/>
      <c r="BV746" s="48"/>
      <c r="BW746" s="48"/>
      <c r="BX746" s="48"/>
      <c r="BY746" s="48"/>
      <c r="BZ746" s="48"/>
    </row>
    <row r="747" spans="1:78" ht="15.75" x14ac:dyDescent="0.25">
      <c r="A747" s="20"/>
      <c r="B747" s="47"/>
      <c r="C747" s="51"/>
      <c r="D747" s="51"/>
      <c r="E747" s="51"/>
      <c r="F747" s="48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8"/>
      <c r="BK747" s="48"/>
      <c r="BL747" s="48"/>
      <c r="BM747" s="48"/>
      <c r="BN747" s="48"/>
      <c r="BO747" s="48"/>
      <c r="BP747" s="48"/>
      <c r="BQ747" s="48"/>
      <c r="BR747" s="48"/>
      <c r="BS747" s="48"/>
      <c r="BT747" s="48"/>
      <c r="BU747" s="48"/>
      <c r="BV747" s="48"/>
      <c r="BW747" s="48"/>
      <c r="BX747" s="48"/>
      <c r="BY747" s="48"/>
      <c r="BZ747" s="48"/>
    </row>
    <row r="748" spans="1:78" ht="15.75" x14ac:dyDescent="0.25">
      <c r="A748" s="20"/>
      <c r="B748" s="47"/>
      <c r="C748" s="51"/>
      <c r="D748" s="51"/>
      <c r="E748" s="51"/>
      <c r="F748" s="48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48"/>
      <c r="BL748" s="48"/>
      <c r="BM748" s="48"/>
      <c r="BN748" s="48"/>
      <c r="BO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  <c r="BZ748" s="48"/>
    </row>
    <row r="749" spans="1:78" ht="15.75" x14ac:dyDescent="0.25">
      <c r="A749" s="20"/>
      <c r="B749" s="47"/>
      <c r="C749" s="51"/>
      <c r="D749" s="51"/>
      <c r="E749" s="51"/>
      <c r="F749" s="48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8"/>
      <c r="BK749" s="48"/>
      <c r="BL749" s="48"/>
      <c r="BM749" s="48"/>
      <c r="BN749" s="48"/>
      <c r="BO749" s="48"/>
      <c r="BP749" s="48"/>
      <c r="BQ749" s="48"/>
      <c r="BR749" s="48"/>
      <c r="BS749" s="48"/>
      <c r="BT749" s="48"/>
      <c r="BU749" s="48"/>
      <c r="BV749" s="48"/>
      <c r="BW749" s="48"/>
      <c r="BX749" s="48"/>
      <c r="BY749" s="48"/>
      <c r="BZ749" s="48"/>
    </row>
    <row r="750" spans="1:78" ht="15.75" x14ac:dyDescent="0.25">
      <c r="A750" s="20"/>
      <c r="B750" s="47"/>
      <c r="C750" s="51"/>
      <c r="D750" s="51"/>
      <c r="E750" s="51"/>
      <c r="F750" s="48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8"/>
      <c r="BK750" s="48"/>
      <c r="BL750" s="48"/>
      <c r="BM750" s="48"/>
      <c r="BN750" s="48"/>
      <c r="BO750" s="48"/>
      <c r="BP750" s="48"/>
      <c r="BQ750" s="48"/>
      <c r="BR750" s="48"/>
      <c r="BS750" s="48"/>
      <c r="BT750" s="48"/>
      <c r="BU750" s="48"/>
      <c r="BV750" s="48"/>
      <c r="BW750" s="48"/>
      <c r="BX750" s="48"/>
      <c r="BY750" s="48"/>
      <c r="BZ750" s="48"/>
    </row>
    <row r="751" spans="1:78" ht="15.75" x14ac:dyDescent="0.25">
      <c r="A751" s="20"/>
      <c r="B751" s="47"/>
      <c r="C751" s="51"/>
      <c r="D751" s="51"/>
      <c r="E751" s="51"/>
      <c r="F751" s="48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8"/>
      <c r="BK751" s="48"/>
      <c r="BL751" s="48"/>
      <c r="BM751" s="48"/>
      <c r="BN751" s="48"/>
      <c r="BO751" s="48"/>
      <c r="BP751" s="48"/>
      <c r="BQ751" s="48"/>
      <c r="BR751" s="48"/>
      <c r="BS751" s="48"/>
      <c r="BT751" s="48"/>
      <c r="BU751" s="48"/>
      <c r="BV751" s="48"/>
      <c r="BW751" s="48"/>
      <c r="BX751" s="48"/>
      <c r="BY751" s="48"/>
      <c r="BZ751" s="48"/>
    </row>
    <row r="752" spans="1:78" ht="15.75" x14ac:dyDescent="0.25">
      <c r="A752" s="20"/>
      <c r="B752" s="47"/>
      <c r="C752" s="51"/>
      <c r="D752" s="51"/>
      <c r="E752" s="51"/>
      <c r="F752" s="48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8"/>
      <c r="BK752" s="48"/>
      <c r="BL752" s="48"/>
      <c r="BM752" s="48"/>
      <c r="BN752" s="48"/>
      <c r="BO752" s="48"/>
      <c r="BP752" s="48"/>
      <c r="BQ752" s="48"/>
      <c r="BR752" s="48"/>
      <c r="BS752" s="48"/>
      <c r="BT752" s="48"/>
      <c r="BU752" s="48"/>
      <c r="BV752" s="48"/>
      <c r="BW752" s="48"/>
      <c r="BX752" s="48"/>
      <c r="BY752" s="48"/>
      <c r="BZ752" s="48"/>
    </row>
    <row r="753" spans="1:78" ht="15.75" x14ac:dyDescent="0.25">
      <c r="A753" s="20"/>
      <c r="B753" s="47"/>
      <c r="C753" s="51"/>
      <c r="D753" s="51"/>
      <c r="E753" s="51"/>
      <c r="F753" s="48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8"/>
      <c r="BK753" s="48"/>
      <c r="BL753" s="48"/>
      <c r="BM753" s="48"/>
      <c r="BN753" s="48"/>
      <c r="BO753" s="48"/>
      <c r="BP753" s="48"/>
      <c r="BQ753" s="48"/>
      <c r="BR753" s="48"/>
      <c r="BS753" s="48"/>
      <c r="BT753" s="48"/>
      <c r="BU753" s="48"/>
      <c r="BV753" s="48"/>
      <c r="BW753" s="48"/>
      <c r="BX753" s="48"/>
      <c r="BY753" s="48"/>
      <c r="BZ753" s="48"/>
    </row>
    <row r="754" spans="1:78" ht="15.75" x14ac:dyDescent="0.25">
      <c r="A754" s="20"/>
      <c r="B754" s="47"/>
      <c r="C754" s="51"/>
      <c r="D754" s="51"/>
      <c r="E754" s="51"/>
      <c r="F754" s="48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48"/>
      <c r="BL754" s="48"/>
      <c r="BM754" s="48"/>
      <c r="BN754" s="48"/>
      <c r="BO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  <c r="BZ754" s="48"/>
    </row>
    <row r="755" spans="1:78" ht="15.75" x14ac:dyDescent="0.25">
      <c r="A755" s="20"/>
      <c r="B755" s="47"/>
      <c r="C755" s="51"/>
      <c r="D755" s="51"/>
      <c r="E755" s="51"/>
      <c r="F755" s="48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48"/>
      <c r="BL755" s="48"/>
      <c r="BM755" s="48"/>
      <c r="BN755" s="48"/>
      <c r="BO755" s="48"/>
      <c r="BP755" s="48"/>
      <c r="BQ755" s="48"/>
      <c r="BR755" s="48"/>
      <c r="BS755" s="48"/>
      <c r="BT755" s="48"/>
      <c r="BU755" s="48"/>
      <c r="BV755" s="48"/>
      <c r="BW755" s="48"/>
      <c r="BX755" s="48"/>
      <c r="BY755" s="48"/>
      <c r="BZ755" s="48"/>
    </row>
    <row r="756" spans="1:78" ht="15.75" x14ac:dyDescent="0.25">
      <c r="A756" s="20"/>
      <c r="B756" s="47"/>
      <c r="C756" s="51"/>
      <c r="D756" s="51"/>
      <c r="E756" s="51"/>
      <c r="F756" s="48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48"/>
      <c r="BL756" s="48"/>
      <c r="BM756" s="48"/>
      <c r="BN756" s="48"/>
      <c r="BO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  <c r="BZ756" s="48"/>
    </row>
    <row r="757" spans="1:78" ht="15.75" x14ac:dyDescent="0.25">
      <c r="A757" s="20"/>
      <c r="B757" s="47"/>
      <c r="C757" s="51"/>
      <c r="D757" s="51"/>
      <c r="E757" s="51"/>
      <c r="F757" s="48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48"/>
      <c r="BL757" s="48"/>
      <c r="BM757" s="48"/>
      <c r="BN757" s="48"/>
      <c r="BO757" s="48"/>
      <c r="BP757" s="48"/>
      <c r="BQ757" s="48"/>
      <c r="BR757" s="48"/>
      <c r="BS757" s="48"/>
      <c r="BT757" s="48"/>
      <c r="BU757" s="48"/>
      <c r="BV757" s="48"/>
      <c r="BW757" s="48"/>
      <c r="BX757" s="48"/>
      <c r="BY757" s="48"/>
      <c r="BZ757" s="48"/>
    </row>
    <row r="758" spans="1:78" ht="15.75" x14ac:dyDescent="0.25">
      <c r="A758" s="20"/>
      <c r="B758" s="47"/>
      <c r="C758" s="51"/>
      <c r="D758" s="51"/>
      <c r="E758" s="51"/>
      <c r="F758" s="48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8"/>
      <c r="BK758" s="48"/>
      <c r="BL758" s="48"/>
      <c r="BM758" s="48"/>
      <c r="BN758" s="48"/>
      <c r="BO758" s="48"/>
      <c r="BP758" s="48"/>
      <c r="BQ758" s="48"/>
      <c r="BR758" s="48"/>
      <c r="BS758" s="48"/>
      <c r="BT758" s="48"/>
      <c r="BU758" s="48"/>
      <c r="BV758" s="48"/>
      <c r="BW758" s="48"/>
      <c r="BX758" s="48"/>
      <c r="BY758" s="48"/>
      <c r="BZ758" s="48"/>
    </row>
    <row r="759" spans="1:78" ht="15.75" x14ac:dyDescent="0.25">
      <c r="A759" s="20"/>
      <c r="B759" s="47"/>
      <c r="C759" s="51"/>
      <c r="D759" s="51"/>
      <c r="E759" s="51"/>
      <c r="F759" s="48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8"/>
      <c r="BK759" s="48"/>
      <c r="BL759" s="48"/>
      <c r="BM759" s="48"/>
      <c r="BN759" s="48"/>
      <c r="BO759" s="48"/>
      <c r="BP759" s="48"/>
      <c r="BQ759" s="48"/>
      <c r="BR759" s="48"/>
      <c r="BS759" s="48"/>
      <c r="BT759" s="48"/>
      <c r="BU759" s="48"/>
      <c r="BV759" s="48"/>
      <c r="BW759" s="48"/>
      <c r="BX759" s="48"/>
      <c r="BY759" s="48"/>
      <c r="BZ759" s="48"/>
    </row>
    <row r="760" spans="1:78" ht="15.75" x14ac:dyDescent="0.25">
      <c r="A760" s="20"/>
      <c r="B760" s="47"/>
      <c r="C760" s="51"/>
      <c r="D760" s="51"/>
      <c r="E760" s="51"/>
      <c r="F760" s="48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48"/>
      <c r="BL760" s="48"/>
      <c r="BM760" s="48"/>
      <c r="BN760" s="48"/>
      <c r="BO760" s="48"/>
      <c r="BP760" s="48"/>
      <c r="BQ760" s="48"/>
      <c r="BR760" s="48"/>
      <c r="BS760" s="48"/>
      <c r="BT760" s="48"/>
      <c r="BU760" s="48"/>
      <c r="BV760" s="48"/>
      <c r="BW760" s="48"/>
      <c r="BX760" s="48"/>
      <c r="BY760" s="48"/>
      <c r="BZ760" s="48"/>
    </row>
    <row r="761" spans="1:78" ht="15.75" x14ac:dyDescent="0.25">
      <c r="A761" s="20"/>
      <c r="B761" s="47"/>
      <c r="C761" s="51"/>
      <c r="D761" s="51"/>
      <c r="E761" s="51"/>
      <c r="F761" s="48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8"/>
      <c r="BK761" s="48"/>
      <c r="BL761" s="48"/>
      <c r="BM761" s="48"/>
      <c r="BN761" s="48"/>
      <c r="BO761" s="48"/>
      <c r="BP761" s="48"/>
      <c r="BQ761" s="48"/>
      <c r="BR761" s="48"/>
      <c r="BS761" s="48"/>
      <c r="BT761" s="48"/>
      <c r="BU761" s="48"/>
      <c r="BV761" s="48"/>
      <c r="BW761" s="48"/>
      <c r="BX761" s="48"/>
      <c r="BY761" s="48"/>
      <c r="BZ761" s="48"/>
    </row>
    <row r="762" spans="1:78" ht="15.75" x14ac:dyDescent="0.25">
      <c r="A762" s="20"/>
      <c r="B762" s="47"/>
      <c r="C762" s="51"/>
      <c r="D762" s="51"/>
      <c r="E762" s="51"/>
      <c r="F762" s="48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8"/>
      <c r="BK762" s="48"/>
      <c r="BL762" s="48"/>
      <c r="BM762" s="48"/>
      <c r="BN762" s="48"/>
      <c r="BO762" s="48"/>
      <c r="BP762" s="48"/>
      <c r="BQ762" s="48"/>
      <c r="BR762" s="48"/>
      <c r="BS762" s="48"/>
      <c r="BT762" s="48"/>
      <c r="BU762" s="48"/>
      <c r="BV762" s="48"/>
      <c r="BW762" s="48"/>
      <c r="BX762" s="48"/>
      <c r="BY762" s="48"/>
      <c r="BZ762" s="48"/>
    </row>
    <row r="763" spans="1:78" ht="15.75" x14ac:dyDescent="0.25">
      <c r="A763" s="20"/>
      <c r="B763" s="47"/>
      <c r="C763" s="51"/>
      <c r="D763" s="51"/>
      <c r="E763" s="51"/>
      <c r="F763" s="48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48"/>
      <c r="BL763" s="48"/>
      <c r="BM763" s="48"/>
      <c r="BN763" s="48"/>
      <c r="BO763" s="48"/>
      <c r="BP763" s="48"/>
      <c r="BQ763" s="48"/>
      <c r="BR763" s="48"/>
      <c r="BS763" s="48"/>
      <c r="BT763" s="48"/>
      <c r="BU763" s="48"/>
      <c r="BV763" s="48"/>
      <c r="BW763" s="48"/>
      <c r="BX763" s="48"/>
      <c r="BY763" s="48"/>
      <c r="BZ763" s="48"/>
    </row>
    <row r="764" spans="1:78" ht="15.75" x14ac:dyDescent="0.25">
      <c r="A764" s="20"/>
      <c r="B764" s="47"/>
      <c r="C764" s="51"/>
      <c r="D764" s="51"/>
      <c r="E764" s="51"/>
      <c r="F764" s="48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48"/>
      <c r="BL764" s="48"/>
      <c r="BM764" s="48"/>
      <c r="BN764" s="48"/>
      <c r="BO764" s="48"/>
      <c r="BP764" s="48"/>
      <c r="BQ764" s="48"/>
      <c r="BR764" s="48"/>
      <c r="BS764" s="48"/>
      <c r="BT764" s="48"/>
      <c r="BU764" s="48"/>
      <c r="BV764" s="48"/>
      <c r="BW764" s="48"/>
      <c r="BX764" s="48"/>
      <c r="BY764" s="48"/>
      <c r="BZ764" s="48"/>
    </row>
    <row r="765" spans="1:78" ht="15.75" x14ac:dyDescent="0.25">
      <c r="A765" s="20"/>
      <c r="B765" s="47"/>
      <c r="C765" s="51"/>
      <c r="D765" s="51"/>
      <c r="E765" s="51"/>
      <c r="F765" s="48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8"/>
      <c r="BK765" s="48"/>
      <c r="BL765" s="48"/>
      <c r="BM765" s="48"/>
      <c r="BN765" s="48"/>
      <c r="BO765" s="48"/>
      <c r="BP765" s="48"/>
      <c r="BQ765" s="48"/>
      <c r="BR765" s="48"/>
      <c r="BS765" s="48"/>
      <c r="BT765" s="48"/>
      <c r="BU765" s="48"/>
      <c r="BV765" s="48"/>
      <c r="BW765" s="48"/>
      <c r="BX765" s="48"/>
      <c r="BY765" s="48"/>
      <c r="BZ765" s="48"/>
    </row>
    <row r="766" spans="1:78" ht="15.75" x14ac:dyDescent="0.25">
      <c r="A766" s="20"/>
      <c r="B766" s="47"/>
      <c r="C766" s="51"/>
      <c r="D766" s="51"/>
      <c r="E766" s="51"/>
      <c r="F766" s="48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48"/>
      <c r="BL766" s="48"/>
      <c r="BM766" s="48"/>
      <c r="BN766" s="48"/>
      <c r="BO766" s="48"/>
      <c r="BP766" s="48"/>
      <c r="BQ766" s="48"/>
      <c r="BR766" s="48"/>
      <c r="BS766" s="48"/>
      <c r="BT766" s="48"/>
      <c r="BU766" s="48"/>
      <c r="BV766" s="48"/>
      <c r="BW766" s="48"/>
      <c r="BX766" s="48"/>
      <c r="BY766" s="48"/>
      <c r="BZ766" s="48"/>
    </row>
    <row r="767" spans="1:78" ht="15.75" x14ac:dyDescent="0.25">
      <c r="A767" s="20"/>
      <c r="B767" s="47"/>
      <c r="C767" s="51"/>
      <c r="D767" s="51"/>
      <c r="E767" s="51"/>
      <c r="F767" s="48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8"/>
      <c r="BK767" s="48"/>
      <c r="BL767" s="48"/>
      <c r="BM767" s="48"/>
      <c r="BN767" s="48"/>
      <c r="BO767" s="48"/>
      <c r="BP767" s="48"/>
      <c r="BQ767" s="48"/>
      <c r="BR767" s="48"/>
      <c r="BS767" s="48"/>
      <c r="BT767" s="48"/>
      <c r="BU767" s="48"/>
      <c r="BV767" s="48"/>
      <c r="BW767" s="48"/>
      <c r="BX767" s="48"/>
      <c r="BY767" s="48"/>
      <c r="BZ767" s="48"/>
    </row>
    <row r="768" spans="1:78" ht="15.75" x14ac:dyDescent="0.25">
      <c r="A768" s="20"/>
      <c r="B768" s="47"/>
      <c r="C768" s="51"/>
      <c r="D768" s="51"/>
      <c r="E768" s="51"/>
      <c r="F768" s="48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8"/>
      <c r="BK768" s="48"/>
      <c r="BL768" s="48"/>
      <c r="BM768" s="48"/>
      <c r="BN768" s="48"/>
      <c r="BO768" s="48"/>
      <c r="BP768" s="48"/>
      <c r="BQ768" s="48"/>
      <c r="BR768" s="48"/>
      <c r="BS768" s="48"/>
      <c r="BT768" s="48"/>
      <c r="BU768" s="48"/>
      <c r="BV768" s="48"/>
      <c r="BW768" s="48"/>
      <c r="BX768" s="48"/>
      <c r="BY768" s="48"/>
      <c r="BZ768" s="48"/>
    </row>
    <row r="769" spans="1:78" ht="15.75" x14ac:dyDescent="0.25">
      <c r="A769" s="20"/>
      <c r="B769" s="47"/>
      <c r="C769" s="51"/>
      <c r="D769" s="51"/>
      <c r="E769" s="51"/>
      <c r="F769" s="48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8"/>
      <c r="BK769" s="48"/>
      <c r="BL769" s="48"/>
      <c r="BM769" s="48"/>
      <c r="BN769" s="48"/>
      <c r="BO769" s="48"/>
      <c r="BP769" s="48"/>
      <c r="BQ769" s="48"/>
      <c r="BR769" s="48"/>
      <c r="BS769" s="48"/>
      <c r="BT769" s="48"/>
      <c r="BU769" s="48"/>
      <c r="BV769" s="48"/>
      <c r="BW769" s="48"/>
      <c r="BX769" s="48"/>
      <c r="BY769" s="48"/>
      <c r="BZ769" s="48"/>
    </row>
    <row r="770" spans="1:78" ht="15.75" x14ac:dyDescent="0.25">
      <c r="A770" s="20"/>
      <c r="B770" s="47"/>
      <c r="C770" s="51"/>
      <c r="D770" s="51"/>
      <c r="E770" s="51"/>
      <c r="F770" s="48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48"/>
      <c r="BL770" s="48"/>
      <c r="BM770" s="48"/>
      <c r="BN770" s="48"/>
      <c r="BO770" s="48"/>
      <c r="BP770" s="48"/>
      <c r="BQ770" s="48"/>
      <c r="BR770" s="48"/>
      <c r="BS770" s="48"/>
      <c r="BT770" s="48"/>
      <c r="BU770" s="48"/>
      <c r="BV770" s="48"/>
      <c r="BW770" s="48"/>
      <c r="BX770" s="48"/>
      <c r="BY770" s="48"/>
      <c r="BZ770" s="48"/>
    </row>
    <row r="771" spans="1:78" ht="15.75" x14ac:dyDescent="0.25">
      <c r="A771" s="20"/>
      <c r="B771" s="47"/>
      <c r="C771" s="51"/>
      <c r="D771" s="51"/>
      <c r="E771" s="51"/>
      <c r="F771" s="48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8"/>
      <c r="BK771" s="48"/>
      <c r="BL771" s="48"/>
      <c r="BM771" s="48"/>
      <c r="BN771" s="48"/>
      <c r="BO771" s="48"/>
      <c r="BP771" s="48"/>
      <c r="BQ771" s="48"/>
      <c r="BR771" s="48"/>
      <c r="BS771" s="48"/>
      <c r="BT771" s="48"/>
      <c r="BU771" s="48"/>
      <c r="BV771" s="48"/>
      <c r="BW771" s="48"/>
      <c r="BX771" s="48"/>
      <c r="BY771" s="48"/>
      <c r="BZ771" s="48"/>
    </row>
    <row r="772" spans="1:78" ht="15.75" x14ac:dyDescent="0.25">
      <c r="A772" s="20"/>
      <c r="B772" s="47"/>
      <c r="C772" s="51"/>
      <c r="D772" s="51"/>
      <c r="E772" s="51"/>
      <c r="F772" s="48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48"/>
      <c r="BL772" s="48"/>
      <c r="BM772" s="48"/>
      <c r="BN772" s="48"/>
      <c r="BO772" s="48"/>
      <c r="BP772" s="48"/>
      <c r="BQ772" s="48"/>
      <c r="BR772" s="48"/>
      <c r="BS772" s="48"/>
      <c r="BT772" s="48"/>
      <c r="BU772" s="48"/>
      <c r="BV772" s="48"/>
      <c r="BW772" s="48"/>
      <c r="BX772" s="48"/>
      <c r="BY772" s="48"/>
      <c r="BZ772" s="48"/>
    </row>
    <row r="773" spans="1:78" ht="15.75" x14ac:dyDescent="0.25">
      <c r="A773" s="20"/>
      <c r="B773" s="47"/>
      <c r="C773" s="51"/>
      <c r="D773" s="51"/>
      <c r="E773" s="51"/>
      <c r="F773" s="48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8"/>
      <c r="BK773" s="48"/>
      <c r="BL773" s="48"/>
      <c r="BM773" s="48"/>
      <c r="BN773" s="48"/>
      <c r="BO773" s="48"/>
      <c r="BP773" s="48"/>
      <c r="BQ773" s="48"/>
      <c r="BR773" s="48"/>
      <c r="BS773" s="48"/>
      <c r="BT773" s="48"/>
      <c r="BU773" s="48"/>
      <c r="BV773" s="48"/>
      <c r="BW773" s="48"/>
      <c r="BX773" s="48"/>
      <c r="BY773" s="48"/>
      <c r="BZ773" s="48"/>
    </row>
    <row r="774" spans="1:78" ht="15.75" x14ac:dyDescent="0.25">
      <c r="A774" s="20"/>
      <c r="B774" s="47"/>
      <c r="C774" s="51"/>
      <c r="D774" s="51"/>
      <c r="E774" s="51"/>
      <c r="F774" s="48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8"/>
      <c r="BK774" s="48"/>
      <c r="BL774" s="48"/>
      <c r="BM774" s="48"/>
      <c r="BN774" s="48"/>
      <c r="BO774" s="48"/>
      <c r="BP774" s="48"/>
      <c r="BQ774" s="48"/>
      <c r="BR774" s="48"/>
      <c r="BS774" s="48"/>
      <c r="BT774" s="48"/>
      <c r="BU774" s="48"/>
      <c r="BV774" s="48"/>
      <c r="BW774" s="48"/>
      <c r="BX774" s="48"/>
      <c r="BY774" s="48"/>
      <c r="BZ774" s="48"/>
    </row>
    <row r="775" spans="1:78" ht="15.75" x14ac:dyDescent="0.25">
      <c r="A775" s="20"/>
      <c r="B775" s="47"/>
      <c r="C775" s="51"/>
      <c r="D775" s="51"/>
      <c r="E775" s="51"/>
      <c r="F775" s="48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8"/>
      <c r="BK775" s="48"/>
      <c r="BL775" s="48"/>
      <c r="BM775" s="48"/>
      <c r="BN775" s="48"/>
      <c r="BO775" s="48"/>
      <c r="BP775" s="48"/>
      <c r="BQ775" s="48"/>
      <c r="BR775" s="48"/>
      <c r="BS775" s="48"/>
      <c r="BT775" s="48"/>
      <c r="BU775" s="48"/>
      <c r="BV775" s="48"/>
      <c r="BW775" s="48"/>
      <c r="BX775" s="48"/>
      <c r="BY775" s="48"/>
      <c r="BZ775" s="48"/>
    </row>
    <row r="776" spans="1:78" ht="15.75" x14ac:dyDescent="0.25">
      <c r="A776" s="20"/>
      <c r="B776" s="47"/>
      <c r="C776" s="51"/>
      <c r="D776" s="51"/>
      <c r="E776" s="51"/>
      <c r="F776" s="48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8"/>
      <c r="BK776" s="48"/>
      <c r="BL776" s="48"/>
      <c r="BM776" s="48"/>
      <c r="BN776" s="48"/>
      <c r="BO776" s="48"/>
      <c r="BP776" s="48"/>
      <c r="BQ776" s="48"/>
      <c r="BR776" s="48"/>
      <c r="BS776" s="48"/>
      <c r="BT776" s="48"/>
      <c r="BU776" s="48"/>
      <c r="BV776" s="48"/>
      <c r="BW776" s="48"/>
      <c r="BX776" s="48"/>
      <c r="BY776" s="48"/>
      <c r="BZ776" s="48"/>
    </row>
    <row r="777" spans="1:78" ht="15.75" x14ac:dyDescent="0.25">
      <c r="A777" s="20"/>
      <c r="B777" s="47"/>
      <c r="C777" s="51"/>
      <c r="D777" s="51"/>
      <c r="E777" s="51"/>
      <c r="F777" s="48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8"/>
      <c r="BK777" s="48"/>
      <c r="BL777" s="48"/>
      <c r="BM777" s="48"/>
      <c r="BN777" s="48"/>
      <c r="BO777" s="48"/>
      <c r="BP777" s="48"/>
      <c r="BQ777" s="48"/>
      <c r="BR777" s="48"/>
      <c r="BS777" s="48"/>
      <c r="BT777" s="48"/>
      <c r="BU777" s="48"/>
      <c r="BV777" s="48"/>
      <c r="BW777" s="48"/>
      <c r="BX777" s="48"/>
      <c r="BY777" s="48"/>
      <c r="BZ777" s="48"/>
    </row>
    <row r="778" spans="1:78" ht="15.75" x14ac:dyDescent="0.25">
      <c r="A778" s="20"/>
      <c r="B778" s="47"/>
      <c r="C778" s="51"/>
      <c r="D778" s="51"/>
      <c r="E778" s="51"/>
      <c r="F778" s="48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48"/>
      <c r="BL778" s="48"/>
      <c r="BM778" s="48"/>
      <c r="BN778" s="48"/>
      <c r="BO778" s="48"/>
      <c r="BP778" s="48"/>
      <c r="BQ778" s="48"/>
      <c r="BR778" s="48"/>
      <c r="BS778" s="48"/>
      <c r="BT778" s="48"/>
      <c r="BU778" s="48"/>
      <c r="BV778" s="48"/>
      <c r="BW778" s="48"/>
      <c r="BX778" s="48"/>
      <c r="BY778" s="48"/>
      <c r="BZ778" s="48"/>
    </row>
    <row r="779" spans="1:78" ht="15.75" x14ac:dyDescent="0.25">
      <c r="A779" s="20"/>
      <c r="B779" s="47"/>
      <c r="C779" s="51"/>
      <c r="D779" s="51"/>
      <c r="E779" s="51"/>
      <c r="F779" s="48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48"/>
      <c r="BL779" s="48"/>
      <c r="BM779" s="48"/>
      <c r="BN779" s="48"/>
      <c r="BO779" s="48"/>
      <c r="BP779" s="48"/>
      <c r="BQ779" s="48"/>
      <c r="BR779" s="48"/>
      <c r="BS779" s="48"/>
      <c r="BT779" s="48"/>
      <c r="BU779" s="48"/>
      <c r="BV779" s="48"/>
      <c r="BW779" s="48"/>
      <c r="BX779" s="48"/>
      <c r="BY779" s="48"/>
      <c r="BZ779" s="48"/>
    </row>
    <row r="780" spans="1:78" ht="15.75" x14ac:dyDescent="0.25">
      <c r="A780" s="20"/>
      <c r="B780" s="47"/>
      <c r="C780" s="51"/>
      <c r="D780" s="51"/>
      <c r="E780" s="51"/>
      <c r="F780" s="48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48"/>
      <c r="BL780" s="48"/>
      <c r="BM780" s="48"/>
      <c r="BN780" s="48"/>
      <c r="BO780" s="48"/>
      <c r="BP780" s="48"/>
      <c r="BQ780" s="48"/>
      <c r="BR780" s="48"/>
      <c r="BS780" s="48"/>
      <c r="BT780" s="48"/>
      <c r="BU780" s="48"/>
      <c r="BV780" s="48"/>
      <c r="BW780" s="48"/>
      <c r="BX780" s="48"/>
      <c r="BY780" s="48"/>
      <c r="BZ780" s="48"/>
    </row>
    <row r="781" spans="1:78" ht="15.75" x14ac:dyDescent="0.25">
      <c r="A781" s="20"/>
      <c r="B781" s="47"/>
      <c r="C781" s="51"/>
      <c r="D781" s="51"/>
      <c r="E781" s="51"/>
      <c r="F781" s="48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8"/>
      <c r="BK781" s="48"/>
      <c r="BL781" s="48"/>
      <c r="BM781" s="48"/>
      <c r="BN781" s="48"/>
      <c r="BO781" s="48"/>
      <c r="BP781" s="48"/>
      <c r="BQ781" s="48"/>
      <c r="BR781" s="48"/>
      <c r="BS781" s="48"/>
      <c r="BT781" s="48"/>
      <c r="BU781" s="48"/>
      <c r="BV781" s="48"/>
      <c r="BW781" s="48"/>
      <c r="BX781" s="48"/>
      <c r="BY781" s="48"/>
      <c r="BZ781" s="48"/>
    </row>
    <row r="782" spans="1:78" ht="15.75" x14ac:dyDescent="0.25">
      <c r="A782" s="20"/>
      <c r="B782" s="47"/>
      <c r="C782" s="51"/>
      <c r="D782" s="51"/>
      <c r="E782" s="51"/>
      <c r="F782" s="48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8"/>
      <c r="BK782" s="48"/>
      <c r="BL782" s="48"/>
      <c r="BM782" s="48"/>
      <c r="BN782" s="48"/>
      <c r="BO782" s="48"/>
      <c r="BP782" s="48"/>
      <c r="BQ782" s="48"/>
      <c r="BR782" s="48"/>
      <c r="BS782" s="48"/>
      <c r="BT782" s="48"/>
      <c r="BU782" s="48"/>
      <c r="BV782" s="48"/>
      <c r="BW782" s="48"/>
      <c r="BX782" s="48"/>
      <c r="BY782" s="48"/>
      <c r="BZ782" s="48"/>
    </row>
    <row r="783" spans="1:78" ht="15.75" x14ac:dyDescent="0.25">
      <c r="A783" s="20"/>
      <c r="B783" s="47"/>
      <c r="C783" s="51"/>
      <c r="D783" s="51"/>
      <c r="E783" s="51"/>
      <c r="F783" s="48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8"/>
      <c r="BK783" s="48"/>
      <c r="BL783" s="48"/>
      <c r="BM783" s="48"/>
      <c r="BN783" s="48"/>
      <c r="BO783" s="48"/>
      <c r="BP783" s="48"/>
      <c r="BQ783" s="48"/>
      <c r="BR783" s="48"/>
      <c r="BS783" s="48"/>
      <c r="BT783" s="48"/>
      <c r="BU783" s="48"/>
      <c r="BV783" s="48"/>
      <c r="BW783" s="48"/>
      <c r="BX783" s="48"/>
      <c r="BY783" s="48"/>
      <c r="BZ783" s="48"/>
    </row>
    <row r="784" spans="1:78" ht="15.75" x14ac:dyDescent="0.25">
      <c r="A784" s="20"/>
      <c r="B784" s="47"/>
      <c r="C784" s="51"/>
      <c r="D784" s="51"/>
      <c r="E784" s="51"/>
      <c r="F784" s="48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8"/>
      <c r="BK784" s="48"/>
      <c r="BL784" s="48"/>
      <c r="BM784" s="48"/>
      <c r="BN784" s="48"/>
      <c r="BO784" s="48"/>
      <c r="BP784" s="48"/>
      <c r="BQ784" s="48"/>
      <c r="BR784" s="48"/>
      <c r="BS784" s="48"/>
      <c r="BT784" s="48"/>
      <c r="BU784" s="48"/>
      <c r="BV784" s="48"/>
      <c r="BW784" s="48"/>
      <c r="BX784" s="48"/>
      <c r="BY784" s="48"/>
      <c r="BZ784" s="48"/>
    </row>
    <row r="785" spans="1:78" ht="15.75" x14ac:dyDescent="0.25">
      <c r="A785" s="20"/>
      <c r="B785" s="47"/>
      <c r="C785" s="51"/>
      <c r="D785" s="51"/>
      <c r="E785" s="51"/>
      <c r="F785" s="48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8"/>
      <c r="BK785" s="48"/>
      <c r="BL785" s="48"/>
      <c r="BM785" s="48"/>
      <c r="BN785" s="48"/>
      <c r="BO785" s="48"/>
      <c r="BP785" s="48"/>
      <c r="BQ785" s="48"/>
      <c r="BR785" s="48"/>
      <c r="BS785" s="48"/>
      <c r="BT785" s="48"/>
      <c r="BU785" s="48"/>
      <c r="BV785" s="48"/>
      <c r="BW785" s="48"/>
      <c r="BX785" s="48"/>
      <c r="BY785" s="48"/>
      <c r="BZ785" s="48"/>
    </row>
    <row r="786" spans="1:78" ht="15.75" x14ac:dyDescent="0.25">
      <c r="A786" s="20"/>
      <c r="B786" s="47"/>
      <c r="C786" s="51"/>
      <c r="D786" s="51"/>
      <c r="E786" s="51"/>
      <c r="F786" s="48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8"/>
      <c r="BK786" s="48"/>
      <c r="BL786" s="48"/>
      <c r="BM786" s="48"/>
      <c r="BN786" s="48"/>
      <c r="BO786" s="48"/>
      <c r="BP786" s="48"/>
      <c r="BQ786" s="48"/>
      <c r="BR786" s="48"/>
      <c r="BS786" s="48"/>
      <c r="BT786" s="48"/>
      <c r="BU786" s="48"/>
      <c r="BV786" s="48"/>
      <c r="BW786" s="48"/>
      <c r="BX786" s="48"/>
      <c r="BY786" s="48"/>
      <c r="BZ786" s="48"/>
    </row>
    <row r="787" spans="1:78" ht="15.75" x14ac:dyDescent="0.25">
      <c r="A787" s="20"/>
      <c r="B787" s="47"/>
      <c r="C787" s="51"/>
      <c r="D787" s="51"/>
      <c r="E787" s="51"/>
      <c r="F787" s="48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8"/>
      <c r="BK787" s="48"/>
      <c r="BL787" s="48"/>
      <c r="BM787" s="48"/>
      <c r="BN787" s="48"/>
      <c r="BO787" s="48"/>
      <c r="BP787" s="48"/>
      <c r="BQ787" s="48"/>
      <c r="BR787" s="48"/>
      <c r="BS787" s="48"/>
      <c r="BT787" s="48"/>
      <c r="BU787" s="48"/>
      <c r="BV787" s="48"/>
      <c r="BW787" s="48"/>
      <c r="BX787" s="48"/>
      <c r="BY787" s="48"/>
      <c r="BZ787" s="48"/>
    </row>
    <row r="788" spans="1:78" ht="15.75" x14ac:dyDescent="0.25">
      <c r="A788" s="20"/>
      <c r="B788" s="47"/>
      <c r="C788" s="51"/>
      <c r="D788" s="51"/>
      <c r="E788" s="51"/>
      <c r="F788" s="48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8"/>
      <c r="BK788" s="48"/>
      <c r="BL788" s="48"/>
      <c r="BM788" s="48"/>
      <c r="BN788" s="48"/>
      <c r="BO788" s="48"/>
      <c r="BP788" s="48"/>
      <c r="BQ788" s="48"/>
      <c r="BR788" s="48"/>
      <c r="BS788" s="48"/>
      <c r="BT788" s="48"/>
      <c r="BU788" s="48"/>
      <c r="BV788" s="48"/>
      <c r="BW788" s="48"/>
      <c r="BX788" s="48"/>
      <c r="BY788" s="48"/>
      <c r="BZ788" s="48"/>
    </row>
    <row r="789" spans="1:78" ht="15.75" x14ac:dyDescent="0.25">
      <c r="A789" s="20"/>
      <c r="B789" s="47"/>
      <c r="C789" s="51"/>
      <c r="D789" s="51"/>
      <c r="E789" s="51"/>
      <c r="F789" s="48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8"/>
      <c r="BK789" s="48"/>
      <c r="BL789" s="48"/>
      <c r="BM789" s="48"/>
      <c r="BN789" s="48"/>
      <c r="BO789" s="48"/>
      <c r="BP789" s="48"/>
      <c r="BQ789" s="48"/>
      <c r="BR789" s="48"/>
      <c r="BS789" s="48"/>
      <c r="BT789" s="48"/>
      <c r="BU789" s="48"/>
      <c r="BV789" s="48"/>
      <c r="BW789" s="48"/>
      <c r="BX789" s="48"/>
      <c r="BY789" s="48"/>
      <c r="BZ789" s="48"/>
    </row>
    <row r="790" spans="1:78" ht="15.75" x14ac:dyDescent="0.25">
      <c r="A790" s="20"/>
      <c r="B790" s="47"/>
      <c r="C790" s="51"/>
      <c r="D790" s="51"/>
      <c r="E790" s="51"/>
      <c r="F790" s="48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48"/>
      <c r="BL790" s="48"/>
      <c r="BM790" s="48"/>
      <c r="BN790" s="48"/>
      <c r="BO790" s="48"/>
      <c r="BP790" s="48"/>
      <c r="BQ790" s="48"/>
      <c r="BR790" s="48"/>
      <c r="BS790" s="48"/>
      <c r="BT790" s="48"/>
      <c r="BU790" s="48"/>
      <c r="BV790" s="48"/>
      <c r="BW790" s="48"/>
      <c r="BX790" s="48"/>
      <c r="BY790" s="48"/>
      <c r="BZ790" s="48"/>
    </row>
    <row r="791" spans="1:78" ht="15.75" x14ac:dyDescent="0.25">
      <c r="A791" s="20"/>
      <c r="B791" s="47"/>
      <c r="C791" s="51"/>
      <c r="D791" s="51"/>
      <c r="E791" s="51"/>
      <c r="F791" s="48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8"/>
      <c r="BK791" s="48"/>
      <c r="BL791" s="48"/>
      <c r="BM791" s="48"/>
      <c r="BN791" s="48"/>
      <c r="BO791" s="48"/>
      <c r="BP791" s="48"/>
      <c r="BQ791" s="48"/>
      <c r="BR791" s="48"/>
      <c r="BS791" s="48"/>
      <c r="BT791" s="48"/>
      <c r="BU791" s="48"/>
      <c r="BV791" s="48"/>
      <c r="BW791" s="48"/>
      <c r="BX791" s="48"/>
      <c r="BY791" s="48"/>
      <c r="BZ791" s="48"/>
    </row>
    <row r="792" spans="1:78" ht="15.75" x14ac:dyDescent="0.25">
      <c r="A792" s="20"/>
      <c r="B792" s="47"/>
      <c r="C792" s="51"/>
      <c r="D792" s="51"/>
      <c r="E792" s="51"/>
      <c r="F792" s="48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48"/>
      <c r="BL792" s="48"/>
      <c r="BM792" s="48"/>
      <c r="BN792" s="48"/>
      <c r="BO792" s="48"/>
      <c r="BP792" s="48"/>
      <c r="BQ792" s="48"/>
      <c r="BR792" s="48"/>
      <c r="BS792" s="48"/>
      <c r="BT792" s="48"/>
      <c r="BU792" s="48"/>
      <c r="BV792" s="48"/>
      <c r="BW792" s="48"/>
      <c r="BX792" s="48"/>
      <c r="BY792" s="48"/>
      <c r="BZ792" s="48"/>
    </row>
    <row r="793" spans="1:78" ht="15.75" x14ac:dyDescent="0.25">
      <c r="A793" s="20"/>
      <c r="B793" s="47"/>
      <c r="C793" s="51"/>
      <c r="D793" s="51"/>
      <c r="E793" s="51"/>
      <c r="F793" s="48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8"/>
      <c r="BK793" s="48"/>
      <c r="BL793" s="48"/>
      <c r="BM793" s="48"/>
      <c r="BN793" s="48"/>
      <c r="BO793" s="48"/>
      <c r="BP793" s="48"/>
      <c r="BQ793" s="48"/>
      <c r="BR793" s="48"/>
      <c r="BS793" s="48"/>
      <c r="BT793" s="48"/>
      <c r="BU793" s="48"/>
      <c r="BV793" s="48"/>
      <c r="BW793" s="48"/>
      <c r="BX793" s="48"/>
      <c r="BY793" s="48"/>
      <c r="BZ793" s="48"/>
    </row>
    <row r="794" spans="1:78" ht="15.75" x14ac:dyDescent="0.25">
      <c r="A794" s="20"/>
      <c r="B794" s="47"/>
      <c r="C794" s="51"/>
      <c r="D794" s="51"/>
      <c r="E794" s="51"/>
      <c r="F794" s="48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48"/>
      <c r="BL794" s="48"/>
      <c r="BM794" s="48"/>
      <c r="BN794" s="48"/>
      <c r="BO794" s="48"/>
      <c r="BP794" s="48"/>
      <c r="BQ794" s="48"/>
      <c r="BR794" s="48"/>
      <c r="BS794" s="48"/>
      <c r="BT794" s="48"/>
      <c r="BU794" s="48"/>
      <c r="BV794" s="48"/>
      <c r="BW794" s="48"/>
      <c r="BX794" s="48"/>
      <c r="BY794" s="48"/>
      <c r="BZ794" s="48"/>
    </row>
    <row r="795" spans="1:78" ht="15.75" x14ac:dyDescent="0.25">
      <c r="A795" s="20"/>
      <c r="B795" s="47"/>
      <c r="C795" s="51"/>
      <c r="D795" s="51"/>
      <c r="E795" s="51"/>
      <c r="F795" s="48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8"/>
      <c r="BK795" s="48"/>
      <c r="BL795" s="48"/>
      <c r="BM795" s="48"/>
      <c r="BN795" s="48"/>
      <c r="BO795" s="48"/>
      <c r="BP795" s="48"/>
      <c r="BQ795" s="48"/>
      <c r="BR795" s="48"/>
      <c r="BS795" s="48"/>
      <c r="BT795" s="48"/>
      <c r="BU795" s="48"/>
      <c r="BV795" s="48"/>
      <c r="BW795" s="48"/>
      <c r="BX795" s="48"/>
      <c r="BY795" s="48"/>
      <c r="BZ795" s="48"/>
    </row>
    <row r="796" spans="1:78" ht="15.75" x14ac:dyDescent="0.25">
      <c r="A796" s="20"/>
      <c r="B796" s="47"/>
      <c r="C796" s="51"/>
      <c r="D796" s="51"/>
      <c r="E796" s="51"/>
      <c r="F796" s="48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48"/>
      <c r="BL796" s="48"/>
      <c r="BM796" s="48"/>
      <c r="BN796" s="48"/>
      <c r="BO796" s="48"/>
      <c r="BP796" s="48"/>
      <c r="BQ796" s="48"/>
      <c r="BR796" s="48"/>
      <c r="BS796" s="48"/>
      <c r="BT796" s="48"/>
      <c r="BU796" s="48"/>
      <c r="BV796" s="48"/>
      <c r="BW796" s="48"/>
      <c r="BX796" s="48"/>
      <c r="BY796" s="48"/>
      <c r="BZ796" s="48"/>
    </row>
    <row r="797" spans="1:78" ht="15.75" x14ac:dyDescent="0.25">
      <c r="A797" s="20"/>
      <c r="B797" s="47"/>
      <c r="C797" s="51"/>
      <c r="D797" s="51"/>
      <c r="E797" s="51"/>
      <c r="F797" s="48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8"/>
      <c r="BK797" s="48"/>
      <c r="BL797" s="48"/>
      <c r="BM797" s="48"/>
      <c r="BN797" s="48"/>
      <c r="BO797" s="48"/>
      <c r="BP797" s="48"/>
      <c r="BQ797" s="48"/>
      <c r="BR797" s="48"/>
      <c r="BS797" s="48"/>
      <c r="BT797" s="48"/>
      <c r="BU797" s="48"/>
      <c r="BV797" s="48"/>
      <c r="BW797" s="48"/>
      <c r="BX797" s="48"/>
      <c r="BY797" s="48"/>
      <c r="BZ797" s="48"/>
    </row>
    <row r="798" spans="1:78" ht="15.75" x14ac:dyDescent="0.25">
      <c r="A798" s="20"/>
      <c r="B798" s="47"/>
      <c r="C798" s="51"/>
      <c r="D798" s="51"/>
      <c r="E798" s="51"/>
      <c r="F798" s="48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8"/>
      <c r="BK798" s="48"/>
      <c r="BL798" s="48"/>
      <c r="BM798" s="48"/>
      <c r="BN798" s="48"/>
      <c r="BO798" s="48"/>
      <c r="BP798" s="48"/>
      <c r="BQ798" s="48"/>
      <c r="BR798" s="48"/>
      <c r="BS798" s="48"/>
      <c r="BT798" s="48"/>
      <c r="BU798" s="48"/>
      <c r="BV798" s="48"/>
      <c r="BW798" s="48"/>
      <c r="BX798" s="48"/>
      <c r="BY798" s="48"/>
      <c r="BZ798" s="48"/>
    </row>
    <row r="799" spans="1:78" ht="15.75" x14ac:dyDescent="0.25">
      <c r="A799" s="20"/>
      <c r="B799" s="47"/>
      <c r="C799" s="51"/>
      <c r="D799" s="51"/>
      <c r="E799" s="51"/>
      <c r="F799" s="48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8"/>
      <c r="BK799" s="48"/>
      <c r="BL799" s="48"/>
      <c r="BM799" s="48"/>
      <c r="BN799" s="48"/>
      <c r="BO799" s="48"/>
      <c r="BP799" s="48"/>
      <c r="BQ799" s="48"/>
      <c r="BR799" s="48"/>
      <c r="BS799" s="48"/>
      <c r="BT799" s="48"/>
      <c r="BU799" s="48"/>
      <c r="BV799" s="48"/>
      <c r="BW799" s="48"/>
      <c r="BX799" s="48"/>
      <c r="BY799" s="48"/>
      <c r="BZ799" s="48"/>
    </row>
    <row r="800" spans="1:78" ht="15.75" x14ac:dyDescent="0.25">
      <c r="A800" s="20"/>
      <c r="B800" s="47"/>
      <c r="C800" s="51"/>
      <c r="D800" s="51"/>
      <c r="E800" s="51"/>
      <c r="F800" s="48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8"/>
      <c r="BK800" s="48"/>
      <c r="BL800" s="48"/>
      <c r="BM800" s="48"/>
      <c r="BN800" s="48"/>
      <c r="BO800" s="48"/>
      <c r="BP800" s="48"/>
      <c r="BQ800" s="48"/>
      <c r="BR800" s="48"/>
      <c r="BS800" s="48"/>
      <c r="BT800" s="48"/>
      <c r="BU800" s="48"/>
      <c r="BV800" s="48"/>
      <c r="BW800" s="48"/>
      <c r="BX800" s="48"/>
      <c r="BY800" s="48"/>
      <c r="BZ800" s="48"/>
    </row>
    <row r="801" spans="1:78" ht="15.75" x14ac:dyDescent="0.25">
      <c r="A801" s="20"/>
      <c r="B801" s="47"/>
      <c r="C801" s="51"/>
      <c r="D801" s="51"/>
      <c r="E801" s="51"/>
      <c r="F801" s="48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8"/>
      <c r="BK801" s="48"/>
      <c r="BL801" s="48"/>
      <c r="BM801" s="48"/>
      <c r="BN801" s="48"/>
      <c r="BO801" s="48"/>
      <c r="BP801" s="48"/>
      <c r="BQ801" s="48"/>
      <c r="BR801" s="48"/>
      <c r="BS801" s="48"/>
      <c r="BT801" s="48"/>
      <c r="BU801" s="48"/>
      <c r="BV801" s="48"/>
      <c r="BW801" s="48"/>
      <c r="BX801" s="48"/>
      <c r="BY801" s="48"/>
      <c r="BZ801" s="48"/>
    </row>
    <row r="802" spans="1:78" ht="15.75" x14ac:dyDescent="0.25">
      <c r="A802" s="20"/>
      <c r="B802" s="47"/>
      <c r="C802" s="51"/>
      <c r="D802" s="51"/>
      <c r="E802" s="51"/>
      <c r="F802" s="48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48"/>
      <c r="BL802" s="48"/>
      <c r="BM802" s="48"/>
      <c r="BN802" s="48"/>
      <c r="BO802" s="48"/>
      <c r="BP802" s="48"/>
      <c r="BQ802" s="48"/>
      <c r="BR802" s="48"/>
      <c r="BS802" s="48"/>
      <c r="BT802" s="48"/>
      <c r="BU802" s="48"/>
      <c r="BV802" s="48"/>
      <c r="BW802" s="48"/>
      <c r="BX802" s="48"/>
      <c r="BY802" s="48"/>
      <c r="BZ802" s="48"/>
    </row>
    <row r="803" spans="1:78" ht="15.75" x14ac:dyDescent="0.25">
      <c r="A803" s="20"/>
      <c r="B803" s="47"/>
      <c r="C803" s="51"/>
      <c r="D803" s="51"/>
      <c r="E803" s="51"/>
      <c r="F803" s="48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8"/>
      <c r="BK803" s="48"/>
      <c r="BL803" s="48"/>
      <c r="BM803" s="48"/>
      <c r="BN803" s="48"/>
      <c r="BO803" s="48"/>
      <c r="BP803" s="48"/>
      <c r="BQ803" s="48"/>
      <c r="BR803" s="48"/>
      <c r="BS803" s="48"/>
      <c r="BT803" s="48"/>
      <c r="BU803" s="48"/>
      <c r="BV803" s="48"/>
      <c r="BW803" s="48"/>
      <c r="BX803" s="48"/>
      <c r="BY803" s="48"/>
      <c r="BZ803" s="48"/>
    </row>
    <row r="804" spans="1:78" ht="15.75" x14ac:dyDescent="0.25">
      <c r="A804" s="20"/>
      <c r="B804" s="47"/>
      <c r="C804" s="51"/>
      <c r="D804" s="51"/>
      <c r="E804" s="51"/>
      <c r="F804" s="48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8"/>
      <c r="BK804" s="48"/>
      <c r="BL804" s="48"/>
      <c r="BM804" s="48"/>
      <c r="BN804" s="48"/>
      <c r="BO804" s="48"/>
      <c r="BP804" s="48"/>
      <c r="BQ804" s="48"/>
      <c r="BR804" s="48"/>
      <c r="BS804" s="48"/>
      <c r="BT804" s="48"/>
      <c r="BU804" s="48"/>
      <c r="BV804" s="48"/>
      <c r="BW804" s="48"/>
      <c r="BX804" s="48"/>
      <c r="BY804" s="48"/>
      <c r="BZ804" s="48"/>
    </row>
    <row r="805" spans="1:78" ht="15.75" x14ac:dyDescent="0.25">
      <c r="A805" s="20"/>
      <c r="B805" s="47"/>
      <c r="C805" s="51"/>
      <c r="D805" s="51"/>
      <c r="E805" s="51"/>
      <c r="F805" s="48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8"/>
      <c r="BK805" s="48"/>
      <c r="BL805" s="48"/>
      <c r="BM805" s="48"/>
      <c r="BN805" s="48"/>
      <c r="BO805" s="48"/>
      <c r="BP805" s="48"/>
      <c r="BQ805" s="48"/>
      <c r="BR805" s="48"/>
      <c r="BS805" s="48"/>
      <c r="BT805" s="48"/>
      <c r="BU805" s="48"/>
      <c r="BV805" s="48"/>
      <c r="BW805" s="48"/>
      <c r="BX805" s="48"/>
      <c r="BY805" s="48"/>
      <c r="BZ805" s="48"/>
    </row>
    <row r="806" spans="1:78" ht="15.75" x14ac:dyDescent="0.25">
      <c r="A806" s="20"/>
      <c r="B806" s="47"/>
      <c r="C806" s="51"/>
      <c r="D806" s="51"/>
      <c r="E806" s="51"/>
      <c r="F806" s="48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8"/>
      <c r="BK806" s="48"/>
      <c r="BL806" s="48"/>
      <c r="BM806" s="48"/>
      <c r="BN806" s="48"/>
      <c r="BO806" s="48"/>
      <c r="BP806" s="48"/>
      <c r="BQ806" s="48"/>
      <c r="BR806" s="48"/>
      <c r="BS806" s="48"/>
      <c r="BT806" s="48"/>
      <c r="BU806" s="48"/>
      <c r="BV806" s="48"/>
      <c r="BW806" s="48"/>
      <c r="BX806" s="48"/>
      <c r="BY806" s="48"/>
      <c r="BZ806" s="48"/>
    </row>
    <row r="807" spans="1:78" ht="15.75" x14ac:dyDescent="0.25">
      <c r="A807" s="20"/>
      <c r="B807" s="47"/>
      <c r="C807" s="51"/>
      <c r="D807" s="51"/>
      <c r="E807" s="51"/>
      <c r="F807" s="48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8"/>
      <c r="BK807" s="48"/>
      <c r="BL807" s="48"/>
      <c r="BM807" s="48"/>
      <c r="BN807" s="48"/>
      <c r="BO807" s="48"/>
      <c r="BP807" s="48"/>
      <c r="BQ807" s="48"/>
      <c r="BR807" s="48"/>
      <c r="BS807" s="48"/>
      <c r="BT807" s="48"/>
      <c r="BU807" s="48"/>
      <c r="BV807" s="48"/>
      <c r="BW807" s="48"/>
      <c r="BX807" s="48"/>
      <c r="BY807" s="48"/>
      <c r="BZ807" s="48"/>
    </row>
    <row r="808" spans="1:78" ht="15.75" x14ac:dyDescent="0.25">
      <c r="A808" s="20"/>
      <c r="B808" s="47"/>
      <c r="C808" s="51"/>
      <c r="D808" s="51"/>
      <c r="E808" s="51"/>
      <c r="F808" s="48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48"/>
      <c r="BL808" s="48"/>
      <c r="BM808" s="48"/>
      <c r="BN808" s="48"/>
      <c r="BO808" s="48"/>
      <c r="BP808" s="48"/>
      <c r="BQ808" s="48"/>
      <c r="BR808" s="48"/>
      <c r="BS808" s="48"/>
      <c r="BT808" s="48"/>
      <c r="BU808" s="48"/>
      <c r="BV808" s="48"/>
      <c r="BW808" s="48"/>
      <c r="BX808" s="48"/>
      <c r="BY808" s="48"/>
      <c r="BZ808" s="48"/>
    </row>
    <row r="809" spans="1:78" ht="15.75" x14ac:dyDescent="0.25">
      <c r="A809" s="20"/>
      <c r="B809" s="47"/>
      <c r="C809" s="51"/>
      <c r="D809" s="51"/>
      <c r="E809" s="51"/>
      <c r="F809" s="48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48"/>
      <c r="BL809" s="48"/>
      <c r="BM809" s="48"/>
      <c r="BN809" s="48"/>
      <c r="BO809" s="48"/>
      <c r="BP809" s="48"/>
      <c r="BQ809" s="48"/>
      <c r="BR809" s="48"/>
      <c r="BS809" s="48"/>
      <c r="BT809" s="48"/>
      <c r="BU809" s="48"/>
      <c r="BV809" s="48"/>
      <c r="BW809" s="48"/>
      <c r="BX809" s="48"/>
      <c r="BY809" s="48"/>
      <c r="BZ809" s="48"/>
    </row>
    <row r="810" spans="1:78" ht="15.75" x14ac:dyDescent="0.25">
      <c r="A810" s="20"/>
      <c r="B810" s="47"/>
      <c r="C810" s="51"/>
      <c r="D810" s="51"/>
      <c r="E810" s="51"/>
      <c r="F810" s="48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8"/>
      <c r="BK810" s="48"/>
      <c r="BL810" s="48"/>
      <c r="BM810" s="48"/>
      <c r="BN810" s="48"/>
      <c r="BO810" s="48"/>
      <c r="BP810" s="48"/>
      <c r="BQ810" s="48"/>
      <c r="BR810" s="48"/>
      <c r="BS810" s="48"/>
      <c r="BT810" s="48"/>
      <c r="BU810" s="48"/>
      <c r="BV810" s="48"/>
      <c r="BW810" s="48"/>
      <c r="BX810" s="48"/>
      <c r="BY810" s="48"/>
      <c r="BZ810" s="48"/>
    </row>
    <row r="811" spans="1:78" ht="15.75" x14ac:dyDescent="0.25">
      <c r="A811" s="20"/>
      <c r="B811" s="47"/>
      <c r="C811" s="51"/>
      <c r="D811" s="51"/>
      <c r="E811" s="51"/>
      <c r="F811" s="48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8"/>
      <c r="BK811" s="48"/>
      <c r="BL811" s="48"/>
      <c r="BM811" s="48"/>
      <c r="BN811" s="48"/>
      <c r="BO811" s="48"/>
      <c r="BP811" s="48"/>
      <c r="BQ811" s="48"/>
      <c r="BR811" s="48"/>
      <c r="BS811" s="48"/>
      <c r="BT811" s="48"/>
      <c r="BU811" s="48"/>
      <c r="BV811" s="48"/>
      <c r="BW811" s="48"/>
      <c r="BX811" s="48"/>
      <c r="BY811" s="48"/>
      <c r="BZ811" s="48"/>
    </row>
    <row r="812" spans="1:78" ht="15.75" x14ac:dyDescent="0.25">
      <c r="A812" s="20"/>
      <c r="B812" s="47"/>
      <c r="C812" s="51"/>
      <c r="D812" s="51"/>
      <c r="E812" s="51"/>
      <c r="F812" s="48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8"/>
      <c r="BK812" s="48"/>
      <c r="BL812" s="48"/>
      <c r="BM812" s="48"/>
      <c r="BN812" s="48"/>
      <c r="BO812" s="48"/>
      <c r="BP812" s="48"/>
      <c r="BQ812" s="48"/>
      <c r="BR812" s="48"/>
      <c r="BS812" s="48"/>
      <c r="BT812" s="48"/>
      <c r="BU812" s="48"/>
      <c r="BV812" s="48"/>
      <c r="BW812" s="48"/>
      <c r="BX812" s="48"/>
      <c r="BY812" s="48"/>
      <c r="BZ812" s="48"/>
    </row>
    <row r="813" spans="1:78" ht="15.75" x14ac:dyDescent="0.25">
      <c r="A813" s="20"/>
      <c r="B813" s="47"/>
      <c r="C813" s="51"/>
      <c r="D813" s="51"/>
      <c r="E813" s="51"/>
      <c r="F813" s="48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8"/>
      <c r="BK813" s="48"/>
      <c r="BL813" s="48"/>
      <c r="BM813" s="48"/>
      <c r="BN813" s="48"/>
      <c r="BO813" s="48"/>
      <c r="BP813" s="48"/>
      <c r="BQ813" s="48"/>
      <c r="BR813" s="48"/>
      <c r="BS813" s="48"/>
      <c r="BT813" s="48"/>
      <c r="BU813" s="48"/>
      <c r="BV813" s="48"/>
      <c r="BW813" s="48"/>
      <c r="BX813" s="48"/>
      <c r="BY813" s="48"/>
      <c r="BZ813" s="48"/>
    </row>
    <row r="814" spans="1:78" ht="15.75" x14ac:dyDescent="0.25">
      <c r="A814" s="20"/>
      <c r="B814" s="47"/>
      <c r="C814" s="51"/>
      <c r="D814" s="51"/>
      <c r="E814" s="51"/>
      <c r="F814" s="48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8"/>
      <c r="BK814" s="48"/>
      <c r="BL814" s="48"/>
      <c r="BM814" s="48"/>
      <c r="BN814" s="48"/>
      <c r="BO814" s="48"/>
      <c r="BP814" s="48"/>
      <c r="BQ814" s="48"/>
      <c r="BR814" s="48"/>
      <c r="BS814" s="48"/>
      <c r="BT814" s="48"/>
      <c r="BU814" s="48"/>
      <c r="BV814" s="48"/>
      <c r="BW814" s="48"/>
      <c r="BX814" s="48"/>
      <c r="BY814" s="48"/>
      <c r="BZ814" s="48"/>
    </row>
    <row r="815" spans="1:78" ht="15.75" x14ac:dyDescent="0.25">
      <c r="A815" s="20"/>
      <c r="B815" s="47"/>
      <c r="C815" s="51"/>
      <c r="D815" s="51"/>
      <c r="E815" s="51"/>
      <c r="F815" s="48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8"/>
      <c r="BK815" s="48"/>
      <c r="BL815" s="48"/>
      <c r="BM815" s="48"/>
      <c r="BN815" s="48"/>
      <c r="BO815" s="48"/>
      <c r="BP815" s="48"/>
      <c r="BQ815" s="48"/>
      <c r="BR815" s="48"/>
      <c r="BS815" s="48"/>
      <c r="BT815" s="48"/>
      <c r="BU815" s="48"/>
      <c r="BV815" s="48"/>
      <c r="BW815" s="48"/>
      <c r="BX815" s="48"/>
      <c r="BY815" s="48"/>
      <c r="BZ815" s="48"/>
    </row>
    <row r="816" spans="1:78" ht="15.75" x14ac:dyDescent="0.25">
      <c r="A816" s="20"/>
      <c r="B816" s="47"/>
      <c r="C816" s="51"/>
      <c r="D816" s="51"/>
      <c r="E816" s="51"/>
      <c r="F816" s="48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48"/>
      <c r="BL816" s="48"/>
      <c r="BM816" s="48"/>
      <c r="BN816" s="48"/>
      <c r="BO816" s="48"/>
      <c r="BP816" s="48"/>
      <c r="BQ816" s="48"/>
      <c r="BR816" s="48"/>
      <c r="BS816" s="48"/>
      <c r="BT816" s="48"/>
      <c r="BU816" s="48"/>
      <c r="BV816" s="48"/>
      <c r="BW816" s="48"/>
      <c r="BX816" s="48"/>
      <c r="BY816" s="48"/>
      <c r="BZ816" s="48"/>
    </row>
    <row r="817" spans="1:78" ht="15.75" x14ac:dyDescent="0.25">
      <c r="A817" s="20"/>
      <c r="B817" s="47"/>
      <c r="C817" s="51"/>
      <c r="D817" s="51"/>
      <c r="E817" s="51"/>
      <c r="F817" s="48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48"/>
      <c r="BL817" s="48"/>
      <c r="BM817" s="48"/>
      <c r="BN817" s="48"/>
      <c r="BO817" s="48"/>
      <c r="BP817" s="48"/>
      <c r="BQ817" s="48"/>
      <c r="BR817" s="48"/>
      <c r="BS817" s="48"/>
      <c r="BT817" s="48"/>
      <c r="BU817" s="48"/>
      <c r="BV817" s="48"/>
      <c r="BW817" s="48"/>
      <c r="BX817" s="48"/>
      <c r="BY817" s="48"/>
      <c r="BZ817" s="48"/>
    </row>
    <row r="818" spans="1:78" ht="15.75" x14ac:dyDescent="0.25">
      <c r="A818" s="20"/>
      <c r="B818" s="47"/>
      <c r="C818" s="51"/>
      <c r="D818" s="51"/>
      <c r="E818" s="51"/>
      <c r="F818" s="48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8"/>
      <c r="BK818" s="48"/>
      <c r="BL818" s="48"/>
      <c r="BM818" s="48"/>
      <c r="BN818" s="48"/>
      <c r="BO818" s="48"/>
      <c r="BP818" s="48"/>
      <c r="BQ818" s="48"/>
      <c r="BR818" s="48"/>
      <c r="BS818" s="48"/>
      <c r="BT818" s="48"/>
      <c r="BU818" s="48"/>
      <c r="BV818" s="48"/>
      <c r="BW818" s="48"/>
      <c r="BX818" s="48"/>
      <c r="BY818" s="48"/>
      <c r="BZ818" s="48"/>
    </row>
    <row r="819" spans="1:78" ht="15.75" x14ac:dyDescent="0.25">
      <c r="A819" s="20"/>
      <c r="B819" s="47"/>
      <c r="C819" s="51"/>
      <c r="D819" s="51"/>
      <c r="E819" s="51"/>
      <c r="F819" s="48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8"/>
      <c r="BK819" s="48"/>
      <c r="BL819" s="48"/>
      <c r="BM819" s="48"/>
      <c r="BN819" s="48"/>
      <c r="BO819" s="48"/>
      <c r="BP819" s="48"/>
      <c r="BQ819" s="48"/>
      <c r="BR819" s="48"/>
      <c r="BS819" s="48"/>
      <c r="BT819" s="48"/>
      <c r="BU819" s="48"/>
      <c r="BV819" s="48"/>
      <c r="BW819" s="48"/>
      <c r="BX819" s="48"/>
      <c r="BY819" s="48"/>
      <c r="BZ819" s="48"/>
    </row>
    <row r="820" spans="1:78" ht="15.75" x14ac:dyDescent="0.25">
      <c r="A820" s="20"/>
      <c r="B820" s="47"/>
      <c r="C820" s="51"/>
      <c r="D820" s="51"/>
      <c r="E820" s="51"/>
      <c r="F820" s="48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48"/>
      <c r="BL820" s="48"/>
      <c r="BM820" s="48"/>
      <c r="BN820" s="48"/>
      <c r="BO820" s="48"/>
      <c r="BP820" s="48"/>
      <c r="BQ820" s="48"/>
      <c r="BR820" s="48"/>
      <c r="BS820" s="48"/>
      <c r="BT820" s="48"/>
      <c r="BU820" s="48"/>
      <c r="BV820" s="48"/>
      <c r="BW820" s="48"/>
      <c r="BX820" s="48"/>
      <c r="BY820" s="48"/>
      <c r="BZ820" s="48"/>
    </row>
    <row r="821" spans="1:78" ht="15.75" x14ac:dyDescent="0.25">
      <c r="A821" s="20"/>
      <c r="B821" s="47"/>
      <c r="C821" s="51"/>
      <c r="D821" s="51"/>
      <c r="E821" s="51"/>
      <c r="F821" s="48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8"/>
      <c r="BK821" s="48"/>
      <c r="BL821" s="48"/>
      <c r="BM821" s="48"/>
      <c r="BN821" s="48"/>
      <c r="BO821" s="48"/>
      <c r="BP821" s="48"/>
      <c r="BQ821" s="48"/>
      <c r="BR821" s="48"/>
      <c r="BS821" s="48"/>
      <c r="BT821" s="48"/>
      <c r="BU821" s="48"/>
      <c r="BV821" s="48"/>
      <c r="BW821" s="48"/>
      <c r="BX821" s="48"/>
      <c r="BY821" s="48"/>
      <c r="BZ821" s="48"/>
    </row>
    <row r="822" spans="1:78" ht="15.75" x14ac:dyDescent="0.25">
      <c r="A822" s="20"/>
      <c r="B822" s="47"/>
      <c r="C822" s="51"/>
      <c r="D822" s="51"/>
      <c r="E822" s="51"/>
      <c r="F822" s="48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8"/>
      <c r="BK822" s="48"/>
      <c r="BL822" s="48"/>
      <c r="BM822" s="48"/>
      <c r="BN822" s="48"/>
      <c r="BO822" s="48"/>
      <c r="BP822" s="48"/>
      <c r="BQ822" s="48"/>
      <c r="BR822" s="48"/>
      <c r="BS822" s="48"/>
      <c r="BT822" s="48"/>
      <c r="BU822" s="48"/>
      <c r="BV822" s="48"/>
      <c r="BW822" s="48"/>
      <c r="BX822" s="48"/>
      <c r="BY822" s="48"/>
      <c r="BZ822" s="48"/>
    </row>
    <row r="823" spans="1:78" ht="15.75" x14ac:dyDescent="0.25">
      <c r="A823" s="20"/>
      <c r="B823" s="47"/>
      <c r="C823" s="51"/>
      <c r="D823" s="51"/>
      <c r="E823" s="51"/>
      <c r="F823" s="48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8"/>
      <c r="BK823" s="48"/>
      <c r="BL823" s="48"/>
      <c r="BM823" s="48"/>
      <c r="BN823" s="48"/>
      <c r="BO823" s="48"/>
      <c r="BP823" s="48"/>
      <c r="BQ823" s="48"/>
      <c r="BR823" s="48"/>
      <c r="BS823" s="48"/>
      <c r="BT823" s="48"/>
      <c r="BU823" s="48"/>
      <c r="BV823" s="48"/>
      <c r="BW823" s="48"/>
      <c r="BX823" s="48"/>
      <c r="BY823" s="48"/>
      <c r="BZ823" s="48"/>
    </row>
    <row r="824" spans="1:78" ht="15.75" x14ac:dyDescent="0.25">
      <c r="A824" s="20"/>
      <c r="B824" s="47"/>
      <c r="C824" s="51"/>
      <c r="D824" s="51"/>
      <c r="E824" s="51"/>
      <c r="F824" s="48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8"/>
      <c r="BK824" s="48"/>
      <c r="BL824" s="48"/>
      <c r="BM824" s="48"/>
      <c r="BN824" s="48"/>
      <c r="BO824" s="48"/>
      <c r="BP824" s="48"/>
      <c r="BQ824" s="48"/>
      <c r="BR824" s="48"/>
      <c r="BS824" s="48"/>
      <c r="BT824" s="48"/>
      <c r="BU824" s="48"/>
      <c r="BV824" s="48"/>
      <c r="BW824" s="48"/>
      <c r="BX824" s="48"/>
      <c r="BY824" s="48"/>
      <c r="BZ824" s="48"/>
    </row>
    <row r="825" spans="1:78" ht="15.75" x14ac:dyDescent="0.25">
      <c r="A825" s="20"/>
      <c r="B825" s="47"/>
      <c r="C825" s="51"/>
      <c r="D825" s="51"/>
      <c r="E825" s="51"/>
      <c r="F825" s="48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8"/>
      <c r="BK825" s="48"/>
      <c r="BL825" s="48"/>
      <c r="BM825" s="48"/>
      <c r="BN825" s="48"/>
      <c r="BO825" s="48"/>
      <c r="BP825" s="48"/>
      <c r="BQ825" s="48"/>
      <c r="BR825" s="48"/>
      <c r="BS825" s="48"/>
      <c r="BT825" s="48"/>
      <c r="BU825" s="48"/>
      <c r="BV825" s="48"/>
      <c r="BW825" s="48"/>
      <c r="BX825" s="48"/>
      <c r="BY825" s="48"/>
      <c r="BZ825" s="48"/>
    </row>
    <row r="826" spans="1:78" ht="15.75" x14ac:dyDescent="0.25">
      <c r="A826" s="20"/>
      <c r="B826" s="47"/>
      <c r="C826" s="51"/>
      <c r="D826" s="51"/>
      <c r="E826" s="51"/>
      <c r="F826" s="48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8"/>
      <c r="BK826" s="48"/>
      <c r="BL826" s="48"/>
      <c r="BM826" s="48"/>
      <c r="BN826" s="48"/>
      <c r="BO826" s="48"/>
      <c r="BP826" s="48"/>
      <c r="BQ826" s="48"/>
      <c r="BR826" s="48"/>
      <c r="BS826" s="48"/>
      <c r="BT826" s="48"/>
      <c r="BU826" s="48"/>
      <c r="BV826" s="48"/>
      <c r="BW826" s="48"/>
      <c r="BX826" s="48"/>
      <c r="BY826" s="48"/>
      <c r="BZ826" s="48"/>
    </row>
    <row r="827" spans="1:78" ht="15.75" x14ac:dyDescent="0.25">
      <c r="A827" s="20"/>
      <c r="B827" s="47"/>
      <c r="C827" s="51"/>
      <c r="D827" s="51"/>
      <c r="E827" s="51"/>
      <c r="F827" s="48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8"/>
      <c r="BK827" s="48"/>
      <c r="BL827" s="48"/>
      <c r="BM827" s="48"/>
      <c r="BN827" s="48"/>
      <c r="BO827" s="48"/>
      <c r="BP827" s="48"/>
      <c r="BQ827" s="48"/>
      <c r="BR827" s="48"/>
      <c r="BS827" s="48"/>
      <c r="BT827" s="48"/>
      <c r="BU827" s="48"/>
      <c r="BV827" s="48"/>
      <c r="BW827" s="48"/>
      <c r="BX827" s="48"/>
      <c r="BY827" s="48"/>
      <c r="BZ827" s="48"/>
    </row>
    <row r="828" spans="1:78" ht="15.75" x14ac:dyDescent="0.25">
      <c r="A828" s="20"/>
      <c r="B828" s="47"/>
      <c r="C828" s="51"/>
      <c r="D828" s="51"/>
      <c r="E828" s="51"/>
      <c r="F828" s="48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8"/>
      <c r="BK828" s="48"/>
      <c r="BL828" s="48"/>
      <c r="BM828" s="48"/>
      <c r="BN828" s="48"/>
      <c r="BO828" s="48"/>
      <c r="BP828" s="48"/>
      <c r="BQ828" s="48"/>
      <c r="BR828" s="48"/>
      <c r="BS828" s="48"/>
      <c r="BT828" s="48"/>
      <c r="BU828" s="48"/>
      <c r="BV828" s="48"/>
      <c r="BW828" s="48"/>
      <c r="BX828" s="48"/>
      <c r="BY828" s="48"/>
      <c r="BZ828" s="48"/>
    </row>
    <row r="829" spans="1:78" ht="15.75" x14ac:dyDescent="0.25">
      <c r="A829" s="20"/>
      <c r="B829" s="47"/>
      <c r="C829" s="51"/>
      <c r="D829" s="51"/>
      <c r="E829" s="51"/>
      <c r="F829" s="48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8"/>
      <c r="BK829" s="48"/>
      <c r="BL829" s="48"/>
      <c r="BM829" s="48"/>
      <c r="BN829" s="48"/>
      <c r="BO829" s="48"/>
      <c r="BP829" s="48"/>
      <c r="BQ829" s="48"/>
      <c r="BR829" s="48"/>
      <c r="BS829" s="48"/>
      <c r="BT829" s="48"/>
      <c r="BU829" s="48"/>
      <c r="BV829" s="48"/>
      <c r="BW829" s="48"/>
      <c r="BX829" s="48"/>
      <c r="BY829" s="48"/>
      <c r="BZ829" s="48"/>
    </row>
    <row r="830" spans="1:78" ht="15.75" x14ac:dyDescent="0.25">
      <c r="A830" s="20"/>
      <c r="B830" s="47"/>
      <c r="C830" s="51"/>
      <c r="D830" s="51"/>
      <c r="E830" s="51"/>
      <c r="F830" s="48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8"/>
      <c r="BK830" s="48"/>
      <c r="BL830" s="48"/>
      <c r="BM830" s="48"/>
      <c r="BN830" s="48"/>
      <c r="BO830" s="48"/>
      <c r="BP830" s="48"/>
      <c r="BQ830" s="48"/>
      <c r="BR830" s="48"/>
      <c r="BS830" s="48"/>
      <c r="BT830" s="48"/>
      <c r="BU830" s="48"/>
      <c r="BV830" s="48"/>
      <c r="BW830" s="48"/>
      <c r="BX830" s="48"/>
      <c r="BY830" s="48"/>
      <c r="BZ830" s="48"/>
    </row>
    <row r="831" spans="1:78" ht="15.75" x14ac:dyDescent="0.25">
      <c r="A831" s="20"/>
      <c r="B831" s="47"/>
      <c r="C831" s="51"/>
      <c r="D831" s="51"/>
      <c r="E831" s="51"/>
      <c r="F831" s="48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8"/>
      <c r="BK831" s="48"/>
      <c r="BL831" s="48"/>
      <c r="BM831" s="48"/>
      <c r="BN831" s="48"/>
      <c r="BO831" s="48"/>
      <c r="BP831" s="48"/>
      <c r="BQ831" s="48"/>
      <c r="BR831" s="48"/>
      <c r="BS831" s="48"/>
      <c r="BT831" s="48"/>
      <c r="BU831" s="48"/>
      <c r="BV831" s="48"/>
      <c r="BW831" s="48"/>
      <c r="BX831" s="48"/>
      <c r="BY831" s="48"/>
      <c r="BZ831" s="48"/>
    </row>
    <row r="832" spans="1:78" ht="15.75" x14ac:dyDescent="0.25">
      <c r="A832" s="20"/>
      <c r="B832" s="47"/>
      <c r="C832" s="51"/>
      <c r="D832" s="51"/>
      <c r="E832" s="51"/>
      <c r="F832" s="48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8"/>
      <c r="BK832" s="48"/>
      <c r="BL832" s="48"/>
      <c r="BM832" s="48"/>
      <c r="BN832" s="48"/>
      <c r="BO832" s="48"/>
      <c r="BP832" s="48"/>
      <c r="BQ832" s="48"/>
      <c r="BR832" s="48"/>
      <c r="BS832" s="48"/>
      <c r="BT832" s="48"/>
      <c r="BU832" s="48"/>
      <c r="BV832" s="48"/>
      <c r="BW832" s="48"/>
      <c r="BX832" s="48"/>
      <c r="BY832" s="48"/>
      <c r="BZ832" s="48"/>
    </row>
    <row r="833" spans="1:78" ht="15.75" x14ac:dyDescent="0.25">
      <c r="A833" s="20"/>
      <c r="B833" s="47"/>
      <c r="C833" s="51"/>
      <c r="D833" s="51"/>
      <c r="E833" s="51"/>
      <c r="F833" s="48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8"/>
      <c r="BK833" s="48"/>
      <c r="BL833" s="48"/>
      <c r="BM833" s="48"/>
      <c r="BN833" s="48"/>
      <c r="BO833" s="48"/>
      <c r="BP833" s="48"/>
      <c r="BQ833" s="48"/>
      <c r="BR833" s="48"/>
      <c r="BS833" s="48"/>
      <c r="BT833" s="48"/>
      <c r="BU833" s="48"/>
      <c r="BV833" s="48"/>
      <c r="BW833" s="48"/>
      <c r="BX833" s="48"/>
      <c r="BY833" s="48"/>
      <c r="BZ833" s="48"/>
    </row>
    <row r="834" spans="1:78" ht="15.75" x14ac:dyDescent="0.25">
      <c r="A834" s="20"/>
      <c r="B834" s="47"/>
      <c r="C834" s="51"/>
      <c r="D834" s="51"/>
      <c r="E834" s="51"/>
      <c r="F834" s="48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8"/>
      <c r="BK834" s="48"/>
      <c r="BL834" s="48"/>
      <c r="BM834" s="48"/>
      <c r="BN834" s="48"/>
      <c r="BO834" s="48"/>
      <c r="BP834" s="48"/>
      <c r="BQ834" s="48"/>
      <c r="BR834" s="48"/>
      <c r="BS834" s="48"/>
      <c r="BT834" s="48"/>
      <c r="BU834" s="48"/>
      <c r="BV834" s="48"/>
      <c r="BW834" s="48"/>
      <c r="BX834" s="48"/>
      <c r="BY834" s="48"/>
      <c r="BZ834" s="48"/>
    </row>
    <row r="835" spans="1:78" ht="15.75" x14ac:dyDescent="0.25">
      <c r="A835" s="20"/>
      <c r="B835" s="47"/>
      <c r="C835" s="51"/>
      <c r="D835" s="51"/>
      <c r="E835" s="51"/>
      <c r="F835" s="48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8"/>
      <c r="BK835" s="48"/>
      <c r="BL835" s="48"/>
      <c r="BM835" s="48"/>
      <c r="BN835" s="48"/>
      <c r="BO835" s="48"/>
      <c r="BP835" s="48"/>
      <c r="BQ835" s="48"/>
      <c r="BR835" s="48"/>
      <c r="BS835" s="48"/>
      <c r="BT835" s="48"/>
      <c r="BU835" s="48"/>
      <c r="BV835" s="48"/>
      <c r="BW835" s="48"/>
      <c r="BX835" s="48"/>
      <c r="BY835" s="48"/>
      <c r="BZ835" s="48"/>
    </row>
    <row r="836" spans="1:78" ht="15.75" x14ac:dyDescent="0.25">
      <c r="A836" s="20"/>
      <c r="B836" s="47"/>
      <c r="C836" s="51"/>
      <c r="D836" s="51"/>
      <c r="E836" s="51"/>
      <c r="F836" s="48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8"/>
      <c r="BK836" s="48"/>
      <c r="BL836" s="48"/>
      <c r="BM836" s="48"/>
      <c r="BN836" s="48"/>
      <c r="BO836" s="48"/>
      <c r="BP836" s="48"/>
      <c r="BQ836" s="48"/>
      <c r="BR836" s="48"/>
      <c r="BS836" s="48"/>
      <c r="BT836" s="48"/>
      <c r="BU836" s="48"/>
      <c r="BV836" s="48"/>
      <c r="BW836" s="48"/>
      <c r="BX836" s="48"/>
      <c r="BY836" s="48"/>
      <c r="BZ836" s="48"/>
    </row>
    <row r="837" spans="1:78" ht="15.75" x14ac:dyDescent="0.25">
      <c r="A837" s="20"/>
      <c r="B837" s="47"/>
      <c r="C837" s="51"/>
      <c r="D837" s="51"/>
      <c r="E837" s="51"/>
      <c r="F837" s="48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8"/>
      <c r="BK837" s="48"/>
      <c r="BL837" s="48"/>
      <c r="BM837" s="48"/>
      <c r="BN837" s="48"/>
      <c r="BO837" s="48"/>
      <c r="BP837" s="48"/>
      <c r="BQ837" s="48"/>
      <c r="BR837" s="48"/>
      <c r="BS837" s="48"/>
      <c r="BT837" s="48"/>
      <c r="BU837" s="48"/>
      <c r="BV837" s="48"/>
      <c r="BW837" s="48"/>
      <c r="BX837" s="48"/>
      <c r="BY837" s="48"/>
      <c r="BZ837" s="48"/>
    </row>
    <row r="838" spans="1:78" ht="15.75" x14ac:dyDescent="0.25">
      <c r="A838" s="20"/>
      <c r="B838" s="47"/>
      <c r="C838" s="51"/>
      <c r="D838" s="51"/>
      <c r="E838" s="51"/>
      <c r="F838" s="48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8"/>
      <c r="BK838" s="48"/>
      <c r="BL838" s="48"/>
      <c r="BM838" s="48"/>
      <c r="BN838" s="48"/>
      <c r="BO838" s="48"/>
      <c r="BP838" s="48"/>
      <c r="BQ838" s="48"/>
      <c r="BR838" s="48"/>
      <c r="BS838" s="48"/>
      <c r="BT838" s="48"/>
      <c r="BU838" s="48"/>
      <c r="BV838" s="48"/>
      <c r="BW838" s="48"/>
      <c r="BX838" s="48"/>
      <c r="BY838" s="48"/>
      <c r="BZ838" s="48"/>
    </row>
    <row r="839" spans="1:78" ht="15.75" x14ac:dyDescent="0.25">
      <c r="A839" s="20"/>
      <c r="B839" s="47"/>
      <c r="C839" s="51"/>
      <c r="D839" s="51"/>
      <c r="E839" s="51"/>
      <c r="F839" s="48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8"/>
      <c r="BK839" s="48"/>
      <c r="BL839" s="48"/>
      <c r="BM839" s="48"/>
      <c r="BN839" s="48"/>
      <c r="BO839" s="48"/>
      <c r="BP839" s="48"/>
      <c r="BQ839" s="48"/>
      <c r="BR839" s="48"/>
      <c r="BS839" s="48"/>
      <c r="BT839" s="48"/>
      <c r="BU839" s="48"/>
      <c r="BV839" s="48"/>
      <c r="BW839" s="48"/>
      <c r="BX839" s="48"/>
      <c r="BY839" s="48"/>
      <c r="BZ839" s="48"/>
    </row>
    <row r="840" spans="1:78" ht="15.75" x14ac:dyDescent="0.25">
      <c r="A840" s="20"/>
      <c r="B840" s="47"/>
      <c r="C840" s="51"/>
      <c r="D840" s="51"/>
      <c r="E840" s="51"/>
      <c r="F840" s="48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8"/>
      <c r="BK840" s="48"/>
      <c r="BL840" s="48"/>
      <c r="BM840" s="48"/>
      <c r="BN840" s="48"/>
      <c r="BO840" s="48"/>
      <c r="BP840" s="48"/>
      <c r="BQ840" s="48"/>
      <c r="BR840" s="48"/>
      <c r="BS840" s="48"/>
      <c r="BT840" s="48"/>
      <c r="BU840" s="48"/>
      <c r="BV840" s="48"/>
      <c r="BW840" s="48"/>
      <c r="BX840" s="48"/>
      <c r="BY840" s="48"/>
      <c r="BZ840" s="48"/>
    </row>
    <row r="841" spans="1:78" ht="15.75" x14ac:dyDescent="0.25">
      <c r="A841" s="20"/>
      <c r="B841" s="47"/>
      <c r="C841" s="51"/>
      <c r="D841" s="51"/>
      <c r="E841" s="51"/>
      <c r="F841" s="48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48"/>
      <c r="BL841" s="48"/>
      <c r="BM841" s="48"/>
      <c r="BN841" s="48"/>
      <c r="BO841" s="48"/>
      <c r="BP841" s="48"/>
      <c r="BQ841" s="48"/>
      <c r="BR841" s="48"/>
      <c r="BS841" s="48"/>
      <c r="BT841" s="48"/>
      <c r="BU841" s="48"/>
      <c r="BV841" s="48"/>
      <c r="BW841" s="48"/>
      <c r="BX841" s="48"/>
      <c r="BY841" s="48"/>
      <c r="BZ841" s="48"/>
    </row>
    <row r="842" spans="1:78" ht="15.75" x14ac:dyDescent="0.25">
      <c r="A842" s="20"/>
      <c r="B842" s="47"/>
      <c r="C842" s="51"/>
      <c r="D842" s="51"/>
      <c r="E842" s="51"/>
      <c r="F842" s="48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8"/>
      <c r="BK842" s="48"/>
      <c r="BL842" s="48"/>
      <c r="BM842" s="48"/>
      <c r="BN842" s="48"/>
      <c r="BO842" s="48"/>
      <c r="BP842" s="48"/>
      <c r="BQ842" s="48"/>
      <c r="BR842" s="48"/>
      <c r="BS842" s="48"/>
      <c r="BT842" s="48"/>
      <c r="BU842" s="48"/>
      <c r="BV842" s="48"/>
      <c r="BW842" s="48"/>
      <c r="BX842" s="48"/>
      <c r="BY842" s="48"/>
      <c r="BZ842" s="48"/>
    </row>
    <row r="843" spans="1:78" ht="15.75" x14ac:dyDescent="0.25">
      <c r="A843" s="20"/>
      <c r="B843" s="47"/>
      <c r="C843" s="51"/>
      <c r="D843" s="51"/>
      <c r="E843" s="51"/>
      <c r="F843" s="48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8"/>
      <c r="BK843" s="48"/>
      <c r="BL843" s="48"/>
      <c r="BM843" s="48"/>
      <c r="BN843" s="48"/>
      <c r="BO843" s="48"/>
      <c r="BP843" s="48"/>
      <c r="BQ843" s="48"/>
      <c r="BR843" s="48"/>
      <c r="BS843" s="48"/>
      <c r="BT843" s="48"/>
      <c r="BU843" s="48"/>
      <c r="BV843" s="48"/>
      <c r="BW843" s="48"/>
      <c r="BX843" s="48"/>
      <c r="BY843" s="48"/>
      <c r="BZ843" s="48"/>
    </row>
    <row r="844" spans="1:78" ht="15.75" x14ac:dyDescent="0.25">
      <c r="A844" s="20"/>
      <c r="B844" s="47"/>
      <c r="C844" s="51"/>
      <c r="D844" s="51"/>
      <c r="E844" s="51"/>
      <c r="F844" s="48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48"/>
      <c r="BL844" s="48"/>
      <c r="BM844" s="48"/>
      <c r="BN844" s="48"/>
      <c r="BO844" s="48"/>
      <c r="BP844" s="48"/>
      <c r="BQ844" s="48"/>
      <c r="BR844" s="48"/>
      <c r="BS844" s="48"/>
      <c r="BT844" s="48"/>
      <c r="BU844" s="48"/>
      <c r="BV844" s="48"/>
      <c r="BW844" s="48"/>
      <c r="BX844" s="48"/>
      <c r="BY844" s="48"/>
      <c r="BZ844" s="48"/>
    </row>
    <row r="845" spans="1:78" ht="15.75" x14ac:dyDescent="0.25">
      <c r="A845" s="20"/>
      <c r="B845" s="47"/>
      <c r="C845" s="51"/>
      <c r="D845" s="51"/>
      <c r="E845" s="51"/>
      <c r="F845" s="48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8"/>
      <c r="BK845" s="48"/>
      <c r="BL845" s="48"/>
      <c r="BM845" s="48"/>
      <c r="BN845" s="48"/>
      <c r="BO845" s="48"/>
      <c r="BP845" s="48"/>
      <c r="BQ845" s="48"/>
      <c r="BR845" s="48"/>
      <c r="BS845" s="48"/>
      <c r="BT845" s="48"/>
      <c r="BU845" s="48"/>
      <c r="BV845" s="48"/>
      <c r="BW845" s="48"/>
      <c r="BX845" s="48"/>
      <c r="BY845" s="48"/>
      <c r="BZ845" s="48"/>
    </row>
    <row r="846" spans="1:78" ht="15.75" x14ac:dyDescent="0.25">
      <c r="A846" s="20"/>
      <c r="B846" s="47"/>
      <c r="C846" s="51"/>
      <c r="D846" s="51"/>
      <c r="E846" s="51"/>
      <c r="F846" s="48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8"/>
      <c r="BK846" s="48"/>
      <c r="BL846" s="48"/>
      <c r="BM846" s="48"/>
      <c r="BN846" s="48"/>
      <c r="BO846" s="48"/>
      <c r="BP846" s="48"/>
      <c r="BQ846" s="48"/>
      <c r="BR846" s="48"/>
      <c r="BS846" s="48"/>
      <c r="BT846" s="48"/>
      <c r="BU846" s="48"/>
      <c r="BV846" s="48"/>
      <c r="BW846" s="48"/>
      <c r="BX846" s="48"/>
      <c r="BY846" s="48"/>
      <c r="BZ846" s="48"/>
    </row>
    <row r="847" spans="1:78" ht="15.75" x14ac:dyDescent="0.25">
      <c r="A847" s="20"/>
      <c r="B847" s="47"/>
      <c r="C847" s="51"/>
      <c r="D847" s="51"/>
      <c r="E847" s="51"/>
      <c r="F847" s="48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8"/>
      <c r="BK847" s="48"/>
      <c r="BL847" s="48"/>
      <c r="BM847" s="48"/>
      <c r="BN847" s="48"/>
      <c r="BO847" s="48"/>
      <c r="BP847" s="48"/>
      <c r="BQ847" s="48"/>
      <c r="BR847" s="48"/>
      <c r="BS847" s="48"/>
      <c r="BT847" s="48"/>
      <c r="BU847" s="48"/>
      <c r="BV847" s="48"/>
      <c r="BW847" s="48"/>
      <c r="BX847" s="48"/>
      <c r="BY847" s="48"/>
      <c r="BZ847" s="48"/>
    </row>
    <row r="848" spans="1:78" ht="15.75" x14ac:dyDescent="0.25">
      <c r="A848" s="20"/>
      <c r="B848" s="47"/>
      <c r="C848" s="51"/>
      <c r="D848" s="51"/>
      <c r="E848" s="51"/>
      <c r="F848" s="48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8"/>
      <c r="BK848" s="48"/>
      <c r="BL848" s="48"/>
      <c r="BM848" s="48"/>
      <c r="BN848" s="48"/>
      <c r="BO848" s="48"/>
      <c r="BP848" s="48"/>
      <c r="BQ848" s="48"/>
      <c r="BR848" s="48"/>
      <c r="BS848" s="48"/>
      <c r="BT848" s="48"/>
      <c r="BU848" s="48"/>
      <c r="BV848" s="48"/>
      <c r="BW848" s="48"/>
      <c r="BX848" s="48"/>
      <c r="BY848" s="48"/>
      <c r="BZ848" s="48"/>
    </row>
    <row r="849" spans="1:78" ht="15.75" x14ac:dyDescent="0.25">
      <c r="A849" s="20"/>
      <c r="B849" s="47"/>
      <c r="C849" s="51"/>
      <c r="D849" s="51"/>
      <c r="E849" s="51"/>
      <c r="F849" s="48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8"/>
      <c r="BK849" s="48"/>
      <c r="BL849" s="48"/>
      <c r="BM849" s="48"/>
      <c r="BN849" s="48"/>
      <c r="BO849" s="48"/>
      <c r="BP849" s="48"/>
      <c r="BQ849" s="48"/>
      <c r="BR849" s="48"/>
      <c r="BS849" s="48"/>
      <c r="BT849" s="48"/>
      <c r="BU849" s="48"/>
      <c r="BV849" s="48"/>
      <c r="BW849" s="48"/>
      <c r="BX849" s="48"/>
      <c r="BY849" s="48"/>
      <c r="BZ849" s="48"/>
    </row>
    <row r="850" spans="1:78" ht="15.75" x14ac:dyDescent="0.25">
      <c r="A850" s="20"/>
      <c r="B850" s="47"/>
      <c r="C850" s="51"/>
      <c r="D850" s="51"/>
      <c r="E850" s="51"/>
      <c r="F850" s="48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8"/>
      <c r="BK850" s="48"/>
      <c r="BL850" s="48"/>
      <c r="BM850" s="48"/>
      <c r="BN850" s="48"/>
      <c r="BO850" s="48"/>
      <c r="BP850" s="48"/>
      <c r="BQ850" s="48"/>
      <c r="BR850" s="48"/>
      <c r="BS850" s="48"/>
      <c r="BT850" s="48"/>
      <c r="BU850" s="48"/>
      <c r="BV850" s="48"/>
      <c r="BW850" s="48"/>
      <c r="BX850" s="48"/>
      <c r="BY850" s="48"/>
      <c r="BZ850" s="48"/>
    </row>
    <row r="851" spans="1:78" ht="15.75" x14ac:dyDescent="0.25">
      <c r="A851" s="20"/>
      <c r="B851" s="47"/>
      <c r="C851" s="51"/>
      <c r="D851" s="51"/>
      <c r="E851" s="51"/>
      <c r="F851" s="48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8"/>
      <c r="BK851" s="48"/>
      <c r="BL851" s="48"/>
      <c r="BM851" s="48"/>
      <c r="BN851" s="48"/>
      <c r="BO851" s="48"/>
      <c r="BP851" s="48"/>
      <c r="BQ851" s="48"/>
      <c r="BR851" s="48"/>
      <c r="BS851" s="48"/>
      <c r="BT851" s="48"/>
      <c r="BU851" s="48"/>
      <c r="BV851" s="48"/>
      <c r="BW851" s="48"/>
      <c r="BX851" s="48"/>
      <c r="BY851" s="48"/>
      <c r="BZ851" s="48"/>
    </row>
    <row r="852" spans="1:78" ht="15.75" x14ac:dyDescent="0.25">
      <c r="A852" s="20"/>
      <c r="B852" s="47"/>
      <c r="C852" s="51"/>
      <c r="D852" s="51"/>
      <c r="E852" s="51"/>
      <c r="F852" s="48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8"/>
      <c r="BK852" s="48"/>
      <c r="BL852" s="48"/>
      <c r="BM852" s="48"/>
      <c r="BN852" s="48"/>
      <c r="BO852" s="48"/>
      <c r="BP852" s="48"/>
      <c r="BQ852" s="48"/>
      <c r="BR852" s="48"/>
      <c r="BS852" s="48"/>
      <c r="BT852" s="48"/>
      <c r="BU852" s="48"/>
      <c r="BV852" s="48"/>
      <c r="BW852" s="48"/>
      <c r="BX852" s="48"/>
      <c r="BY852" s="48"/>
      <c r="BZ852" s="48"/>
    </row>
    <row r="853" spans="1:78" ht="15.75" x14ac:dyDescent="0.25">
      <c r="A853" s="20"/>
      <c r="B853" s="47"/>
      <c r="C853" s="51"/>
      <c r="D853" s="51"/>
      <c r="E853" s="51"/>
      <c r="F853" s="48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8"/>
      <c r="BK853" s="48"/>
      <c r="BL853" s="48"/>
      <c r="BM853" s="48"/>
      <c r="BN853" s="48"/>
      <c r="BO853" s="48"/>
      <c r="BP853" s="48"/>
      <c r="BQ853" s="48"/>
      <c r="BR853" s="48"/>
      <c r="BS853" s="48"/>
      <c r="BT853" s="48"/>
      <c r="BU853" s="48"/>
      <c r="BV853" s="48"/>
      <c r="BW853" s="48"/>
      <c r="BX853" s="48"/>
      <c r="BY853" s="48"/>
      <c r="BZ853" s="48"/>
    </row>
    <row r="854" spans="1:78" ht="15.75" x14ac:dyDescent="0.25">
      <c r="A854" s="20"/>
      <c r="B854" s="47"/>
      <c r="C854" s="51"/>
      <c r="D854" s="51"/>
      <c r="E854" s="51"/>
      <c r="F854" s="48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8"/>
      <c r="BK854" s="48"/>
      <c r="BL854" s="48"/>
      <c r="BM854" s="48"/>
      <c r="BN854" s="48"/>
      <c r="BO854" s="48"/>
      <c r="BP854" s="48"/>
      <c r="BQ854" s="48"/>
      <c r="BR854" s="48"/>
      <c r="BS854" s="48"/>
      <c r="BT854" s="48"/>
      <c r="BU854" s="48"/>
      <c r="BV854" s="48"/>
      <c r="BW854" s="48"/>
      <c r="BX854" s="48"/>
      <c r="BY854" s="48"/>
      <c r="BZ854" s="48"/>
    </row>
    <row r="855" spans="1:78" ht="15.75" x14ac:dyDescent="0.25">
      <c r="A855" s="20"/>
      <c r="B855" s="47"/>
      <c r="C855" s="51"/>
      <c r="D855" s="51"/>
      <c r="E855" s="51"/>
      <c r="F855" s="48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8"/>
      <c r="BK855" s="48"/>
      <c r="BL855" s="48"/>
      <c r="BM855" s="48"/>
      <c r="BN855" s="48"/>
      <c r="BO855" s="48"/>
      <c r="BP855" s="48"/>
      <c r="BQ855" s="48"/>
      <c r="BR855" s="48"/>
      <c r="BS855" s="48"/>
      <c r="BT855" s="48"/>
      <c r="BU855" s="48"/>
      <c r="BV855" s="48"/>
      <c r="BW855" s="48"/>
      <c r="BX855" s="48"/>
      <c r="BY855" s="48"/>
      <c r="BZ855" s="48"/>
    </row>
    <row r="856" spans="1:78" ht="15.75" x14ac:dyDescent="0.25">
      <c r="A856" s="20"/>
      <c r="B856" s="47"/>
      <c r="C856" s="51"/>
      <c r="D856" s="51"/>
      <c r="E856" s="51"/>
      <c r="F856" s="48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8"/>
      <c r="BK856" s="48"/>
      <c r="BL856" s="48"/>
      <c r="BM856" s="48"/>
      <c r="BN856" s="48"/>
      <c r="BO856" s="48"/>
      <c r="BP856" s="48"/>
      <c r="BQ856" s="48"/>
      <c r="BR856" s="48"/>
      <c r="BS856" s="48"/>
      <c r="BT856" s="48"/>
      <c r="BU856" s="48"/>
      <c r="BV856" s="48"/>
      <c r="BW856" s="48"/>
      <c r="BX856" s="48"/>
      <c r="BY856" s="48"/>
      <c r="BZ856" s="48"/>
    </row>
    <row r="857" spans="1:78" ht="15.75" x14ac:dyDescent="0.25">
      <c r="A857" s="20"/>
      <c r="B857" s="47"/>
      <c r="C857" s="51"/>
      <c r="D857" s="51"/>
      <c r="E857" s="51"/>
      <c r="F857" s="48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8"/>
      <c r="BK857" s="48"/>
      <c r="BL857" s="48"/>
      <c r="BM857" s="48"/>
      <c r="BN857" s="48"/>
      <c r="BO857" s="48"/>
      <c r="BP857" s="48"/>
      <c r="BQ857" s="48"/>
      <c r="BR857" s="48"/>
      <c r="BS857" s="48"/>
      <c r="BT857" s="48"/>
      <c r="BU857" s="48"/>
      <c r="BV857" s="48"/>
      <c r="BW857" s="48"/>
      <c r="BX857" s="48"/>
      <c r="BY857" s="48"/>
      <c r="BZ857" s="48"/>
    </row>
    <row r="858" spans="1:78" ht="15.75" x14ac:dyDescent="0.25">
      <c r="A858" s="20"/>
      <c r="B858" s="47"/>
      <c r="C858" s="51"/>
      <c r="D858" s="51"/>
      <c r="E858" s="51"/>
      <c r="F858" s="48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8"/>
      <c r="BK858" s="48"/>
      <c r="BL858" s="48"/>
      <c r="BM858" s="48"/>
      <c r="BN858" s="48"/>
      <c r="BO858" s="48"/>
      <c r="BP858" s="48"/>
      <c r="BQ858" s="48"/>
      <c r="BR858" s="48"/>
      <c r="BS858" s="48"/>
      <c r="BT858" s="48"/>
      <c r="BU858" s="48"/>
      <c r="BV858" s="48"/>
      <c r="BW858" s="48"/>
      <c r="BX858" s="48"/>
      <c r="BY858" s="48"/>
      <c r="BZ858" s="48"/>
    </row>
    <row r="859" spans="1:78" ht="15.75" x14ac:dyDescent="0.25">
      <c r="A859" s="20"/>
      <c r="B859" s="47"/>
      <c r="C859" s="51"/>
      <c r="D859" s="51"/>
      <c r="E859" s="51"/>
      <c r="F859" s="48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48"/>
      <c r="BL859" s="48"/>
      <c r="BM859" s="48"/>
      <c r="BN859" s="48"/>
      <c r="BO859" s="48"/>
      <c r="BP859" s="48"/>
      <c r="BQ859" s="48"/>
      <c r="BR859" s="48"/>
      <c r="BS859" s="48"/>
      <c r="BT859" s="48"/>
      <c r="BU859" s="48"/>
      <c r="BV859" s="48"/>
      <c r="BW859" s="48"/>
      <c r="BX859" s="48"/>
      <c r="BY859" s="48"/>
      <c r="BZ859" s="48"/>
    </row>
    <row r="860" spans="1:78" ht="15.75" x14ac:dyDescent="0.25">
      <c r="A860" s="20"/>
      <c r="B860" s="47"/>
      <c r="C860" s="51"/>
      <c r="D860" s="51"/>
      <c r="E860" s="51"/>
      <c r="F860" s="48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8"/>
      <c r="BK860" s="48"/>
      <c r="BL860" s="48"/>
      <c r="BM860" s="48"/>
      <c r="BN860" s="48"/>
      <c r="BO860" s="48"/>
      <c r="BP860" s="48"/>
      <c r="BQ860" s="48"/>
      <c r="BR860" s="48"/>
      <c r="BS860" s="48"/>
      <c r="BT860" s="48"/>
      <c r="BU860" s="48"/>
      <c r="BV860" s="48"/>
      <c r="BW860" s="48"/>
      <c r="BX860" s="48"/>
      <c r="BY860" s="48"/>
      <c r="BZ860" s="48"/>
    </row>
    <row r="861" spans="1:78" ht="15.75" x14ac:dyDescent="0.25">
      <c r="A861" s="20"/>
      <c r="B861" s="47"/>
      <c r="C861" s="51"/>
      <c r="D861" s="51"/>
      <c r="E861" s="51"/>
      <c r="F861" s="48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8"/>
      <c r="BK861" s="48"/>
      <c r="BL861" s="48"/>
      <c r="BM861" s="48"/>
      <c r="BN861" s="48"/>
      <c r="BO861" s="48"/>
      <c r="BP861" s="48"/>
      <c r="BQ861" s="48"/>
      <c r="BR861" s="48"/>
      <c r="BS861" s="48"/>
      <c r="BT861" s="48"/>
      <c r="BU861" s="48"/>
      <c r="BV861" s="48"/>
      <c r="BW861" s="48"/>
      <c r="BX861" s="48"/>
      <c r="BY861" s="48"/>
      <c r="BZ861" s="48"/>
    </row>
    <row r="862" spans="1:78" ht="15.75" x14ac:dyDescent="0.25">
      <c r="A862" s="20"/>
      <c r="B862" s="47"/>
      <c r="C862" s="51"/>
      <c r="D862" s="51"/>
      <c r="E862" s="51"/>
      <c r="F862" s="48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48"/>
      <c r="BM862" s="48"/>
      <c r="BN862" s="48"/>
      <c r="BO862" s="48"/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48"/>
    </row>
    <row r="863" spans="1:78" ht="15.75" x14ac:dyDescent="0.25">
      <c r="A863" s="20"/>
      <c r="B863" s="47"/>
      <c r="C863" s="51"/>
      <c r="D863" s="51"/>
      <c r="E863" s="51"/>
      <c r="F863" s="48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8"/>
      <c r="BK863" s="48"/>
      <c r="BL863" s="48"/>
      <c r="BM863" s="48"/>
      <c r="BN863" s="48"/>
      <c r="BO863" s="48"/>
      <c r="BP863" s="48"/>
      <c r="BQ863" s="48"/>
      <c r="BR863" s="48"/>
      <c r="BS863" s="48"/>
      <c r="BT863" s="48"/>
      <c r="BU863" s="48"/>
      <c r="BV863" s="48"/>
      <c r="BW863" s="48"/>
      <c r="BX863" s="48"/>
      <c r="BY863" s="48"/>
      <c r="BZ863" s="48"/>
    </row>
    <row r="864" spans="1:78" ht="15.75" x14ac:dyDescent="0.25">
      <c r="A864" s="20"/>
      <c r="B864" s="47"/>
      <c r="C864" s="51"/>
      <c r="D864" s="51"/>
      <c r="E864" s="51"/>
      <c r="F864" s="48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8"/>
      <c r="BK864" s="48"/>
      <c r="BL864" s="48"/>
      <c r="BM864" s="48"/>
      <c r="BN864" s="48"/>
      <c r="BO864" s="48"/>
      <c r="BP864" s="48"/>
      <c r="BQ864" s="48"/>
      <c r="BR864" s="48"/>
      <c r="BS864" s="48"/>
      <c r="BT864" s="48"/>
      <c r="BU864" s="48"/>
      <c r="BV864" s="48"/>
      <c r="BW864" s="48"/>
      <c r="BX864" s="48"/>
      <c r="BY864" s="48"/>
      <c r="BZ864" s="48"/>
    </row>
    <row r="865" spans="1:78" ht="15.75" x14ac:dyDescent="0.25">
      <c r="A865" s="20"/>
      <c r="B865" s="47"/>
      <c r="C865" s="51"/>
      <c r="D865" s="51"/>
      <c r="E865" s="51"/>
      <c r="F865" s="48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48"/>
      <c r="BL865" s="48"/>
      <c r="BM865" s="48"/>
      <c r="BN865" s="48"/>
      <c r="BO865" s="48"/>
      <c r="BP865" s="48"/>
      <c r="BQ865" s="48"/>
      <c r="BR865" s="48"/>
      <c r="BS865" s="48"/>
      <c r="BT865" s="48"/>
      <c r="BU865" s="48"/>
      <c r="BV865" s="48"/>
      <c r="BW865" s="48"/>
      <c r="BX865" s="48"/>
      <c r="BY865" s="48"/>
      <c r="BZ865" s="48"/>
    </row>
    <row r="866" spans="1:78" ht="15.75" x14ac:dyDescent="0.25">
      <c r="A866" s="20"/>
      <c r="B866" s="47"/>
      <c r="C866" s="51"/>
      <c r="D866" s="51"/>
      <c r="E866" s="51"/>
      <c r="F866" s="48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8"/>
      <c r="BK866" s="48"/>
      <c r="BL866" s="48"/>
      <c r="BM866" s="48"/>
      <c r="BN866" s="48"/>
      <c r="BO866" s="48"/>
      <c r="BP866" s="48"/>
      <c r="BQ866" s="48"/>
      <c r="BR866" s="48"/>
      <c r="BS866" s="48"/>
      <c r="BT866" s="48"/>
      <c r="BU866" s="48"/>
      <c r="BV866" s="48"/>
      <c r="BW866" s="48"/>
      <c r="BX866" s="48"/>
      <c r="BY866" s="48"/>
      <c r="BZ866" s="48"/>
    </row>
    <row r="867" spans="1:78" ht="15.75" x14ac:dyDescent="0.25">
      <c r="A867" s="20"/>
      <c r="B867" s="47"/>
      <c r="C867" s="51"/>
      <c r="D867" s="51"/>
      <c r="E867" s="51"/>
      <c r="F867" s="48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8"/>
      <c r="BK867" s="48"/>
      <c r="BL867" s="48"/>
      <c r="BM867" s="48"/>
      <c r="BN867" s="48"/>
      <c r="BO867" s="48"/>
      <c r="BP867" s="48"/>
      <c r="BQ867" s="48"/>
      <c r="BR867" s="48"/>
      <c r="BS867" s="48"/>
      <c r="BT867" s="48"/>
      <c r="BU867" s="48"/>
      <c r="BV867" s="48"/>
      <c r="BW867" s="48"/>
      <c r="BX867" s="48"/>
      <c r="BY867" s="48"/>
      <c r="BZ867" s="48"/>
    </row>
    <row r="868" spans="1:78" ht="15.75" x14ac:dyDescent="0.25">
      <c r="A868" s="20"/>
      <c r="B868" s="47"/>
      <c r="C868" s="51"/>
      <c r="D868" s="51"/>
      <c r="E868" s="51"/>
      <c r="F868" s="48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8"/>
      <c r="BK868" s="48"/>
      <c r="BL868" s="48"/>
      <c r="BM868" s="48"/>
      <c r="BN868" s="48"/>
      <c r="BO868" s="48"/>
      <c r="BP868" s="48"/>
      <c r="BQ868" s="48"/>
      <c r="BR868" s="48"/>
      <c r="BS868" s="48"/>
      <c r="BT868" s="48"/>
      <c r="BU868" s="48"/>
      <c r="BV868" s="48"/>
      <c r="BW868" s="48"/>
      <c r="BX868" s="48"/>
      <c r="BY868" s="48"/>
      <c r="BZ868" s="48"/>
    </row>
    <row r="869" spans="1:78" ht="15.75" x14ac:dyDescent="0.25">
      <c r="A869" s="20"/>
      <c r="B869" s="47"/>
      <c r="C869" s="51"/>
      <c r="D869" s="51"/>
      <c r="E869" s="51"/>
      <c r="F869" s="48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8"/>
      <c r="BK869" s="48"/>
      <c r="BL869" s="48"/>
      <c r="BM869" s="48"/>
      <c r="BN869" s="48"/>
      <c r="BO869" s="48"/>
      <c r="BP869" s="48"/>
      <c r="BQ869" s="48"/>
      <c r="BR869" s="48"/>
      <c r="BS869" s="48"/>
      <c r="BT869" s="48"/>
      <c r="BU869" s="48"/>
      <c r="BV869" s="48"/>
      <c r="BW869" s="48"/>
      <c r="BX869" s="48"/>
      <c r="BY869" s="48"/>
      <c r="BZ869" s="48"/>
    </row>
    <row r="870" spans="1:78" ht="15.75" x14ac:dyDescent="0.25">
      <c r="A870" s="20"/>
      <c r="B870" s="47"/>
      <c r="C870" s="51"/>
      <c r="D870" s="51"/>
      <c r="E870" s="51"/>
      <c r="F870" s="48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8"/>
      <c r="BK870" s="48"/>
      <c r="BL870" s="48"/>
      <c r="BM870" s="48"/>
      <c r="BN870" s="48"/>
      <c r="BO870" s="48"/>
      <c r="BP870" s="48"/>
      <c r="BQ870" s="48"/>
      <c r="BR870" s="48"/>
      <c r="BS870" s="48"/>
      <c r="BT870" s="48"/>
      <c r="BU870" s="48"/>
      <c r="BV870" s="48"/>
      <c r="BW870" s="48"/>
      <c r="BX870" s="48"/>
      <c r="BY870" s="48"/>
      <c r="BZ870" s="48"/>
    </row>
    <row r="871" spans="1:78" ht="15.75" x14ac:dyDescent="0.25">
      <c r="A871" s="20"/>
      <c r="B871" s="47"/>
      <c r="C871" s="51"/>
      <c r="D871" s="51"/>
      <c r="E871" s="51"/>
      <c r="F871" s="48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48"/>
      <c r="BL871" s="48"/>
      <c r="BM871" s="48"/>
      <c r="BN871" s="48"/>
      <c r="BO871" s="48"/>
      <c r="BP871" s="48"/>
      <c r="BQ871" s="48"/>
      <c r="BR871" s="48"/>
      <c r="BS871" s="48"/>
      <c r="BT871" s="48"/>
      <c r="BU871" s="48"/>
      <c r="BV871" s="48"/>
      <c r="BW871" s="48"/>
      <c r="BX871" s="48"/>
      <c r="BY871" s="48"/>
      <c r="BZ871" s="48"/>
    </row>
    <row r="872" spans="1:78" ht="15.75" x14ac:dyDescent="0.25">
      <c r="A872" s="20"/>
      <c r="B872" s="47"/>
      <c r="C872" s="51"/>
      <c r="D872" s="51"/>
      <c r="E872" s="51"/>
      <c r="F872" s="48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8"/>
      <c r="BK872" s="48"/>
      <c r="BL872" s="48"/>
      <c r="BM872" s="48"/>
      <c r="BN872" s="48"/>
      <c r="BO872" s="48"/>
      <c r="BP872" s="48"/>
      <c r="BQ872" s="48"/>
      <c r="BR872" s="48"/>
      <c r="BS872" s="48"/>
      <c r="BT872" s="48"/>
      <c r="BU872" s="48"/>
      <c r="BV872" s="48"/>
      <c r="BW872" s="48"/>
      <c r="BX872" s="48"/>
      <c r="BY872" s="48"/>
      <c r="BZ872" s="48"/>
    </row>
    <row r="873" spans="1:78" ht="15.75" x14ac:dyDescent="0.25">
      <c r="A873" s="20"/>
      <c r="B873" s="47"/>
      <c r="C873" s="51"/>
      <c r="D873" s="51"/>
      <c r="E873" s="51"/>
      <c r="F873" s="48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8"/>
      <c r="BK873" s="48"/>
      <c r="BL873" s="48"/>
      <c r="BM873" s="48"/>
      <c r="BN873" s="48"/>
      <c r="BO873" s="48"/>
      <c r="BP873" s="48"/>
      <c r="BQ873" s="48"/>
      <c r="BR873" s="48"/>
      <c r="BS873" s="48"/>
      <c r="BT873" s="48"/>
      <c r="BU873" s="48"/>
      <c r="BV873" s="48"/>
      <c r="BW873" s="48"/>
      <c r="BX873" s="48"/>
      <c r="BY873" s="48"/>
      <c r="BZ873" s="48"/>
    </row>
    <row r="874" spans="1:78" ht="15.75" x14ac:dyDescent="0.25">
      <c r="A874" s="20"/>
      <c r="B874" s="47"/>
      <c r="C874" s="51"/>
      <c r="D874" s="51"/>
      <c r="E874" s="51"/>
      <c r="F874" s="48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48"/>
      <c r="BL874" s="48"/>
      <c r="BM874" s="48"/>
      <c r="BN874" s="48"/>
      <c r="BO874" s="48"/>
      <c r="BP874" s="48"/>
      <c r="BQ874" s="48"/>
      <c r="BR874" s="48"/>
      <c r="BS874" s="48"/>
      <c r="BT874" s="48"/>
      <c r="BU874" s="48"/>
      <c r="BV874" s="48"/>
      <c r="BW874" s="48"/>
      <c r="BX874" s="48"/>
      <c r="BY874" s="48"/>
      <c r="BZ874" s="48"/>
    </row>
    <row r="875" spans="1:78" ht="15.75" x14ac:dyDescent="0.25">
      <c r="A875" s="20"/>
      <c r="B875" s="47"/>
      <c r="C875" s="51"/>
      <c r="D875" s="51"/>
      <c r="E875" s="51"/>
      <c r="F875" s="48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8"/>
      <c r="BK875" s="48"/>
      <c r="BL875" s="48"/>
      <c r="BM875" s="48"/>
      <c r="BN875" s="48"/>
      <c r="BO875" s="48"/>
      <c r="BP875" s="48"/>
      <c r="BQ875" s="48"/>
      <c r="BR875" s="48"/>
      <c r="BS875" s="48"/>
      <c r="BT875" s="48"/>
      <c r="BU875" s="48"/>
      <c r="BV875" s="48"/>
      <c r="BW875" s="48"/>
      <c r="BX875" s="48"/>
      <c r="BY875" s="48"/>
      <c r="BZ875" s="48"/>
    </row>
    <row r="876" spans="1:78" ht="15.75" x14ac:dyDescent="0.25">
      <c r="A876" s="20"/>
      <c r="B876" s="47"/>
      <c r="C876" s="51"/>
      <c r="D876" s="51"/>
      <c r="E876" s="51"/>
      <c r="F876" s="48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8"/>
      <c r="BK876" s="48"/>
      <c r="BL876" s="48"/>
      <c r="BM876" s="48"/>
      <c r="BN876" s="48"/>
      <c r="BO876" s="48"/>
      <c r="BP876" s="48"/>
      <c r="BQ876" s="48"/>
      <c r="BR876" s="48"/>
      <c r="BS876" s="48"/>
      <c r="BT876" s="48"/>
      <c r="BU876" s="48"/>
      <c r="BV876" s="48"/>
      <c r="BW876" s="48"/>
      <c r="BX876" s="48"/>
      <c r="BY876" s="48"/>
      <c r="BZ876" s="48"/>
    </row>
    <row r="877" spans="1:78" ht="15.75" x14ac:dyDescent="0.25">
      <c r="A877" s="20"/>
      <c r="B877" s="47"/>
      <c r="C877" s="51"/>
      <c r="D877" s="51"/>
      <c r="E877" s="51"/>
      <c r="F877" s="48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48"/>
      <c r="BL877" s="48"/>
      <c r="BM877" s="48"/>
      <c r="BN877" s="48"/>
      <c r="BO877" s="48"/>
      <c r="BP877" s="48"/>
      <c r="BQ877" s="48"/>
      <c r="BR877" s="48"/>
      <c r="BS877" s="48"/>
      <c r="BT877" s="48"/>
      <c r="BU877" s="48"/>
      <c r="BV877" s="48"/>
      <c r="BW877" s="48"/>
      <c r="BX877" s="48"/>
      <c r="BY877" s="48"/>
      <c r="BZ877" s="48"/>
    </row>
    <row r="878" spans="1:78" ht="15.75" x14ac:dyDescent="0.25">
      <c r="A878" s="20"/>
      <c r="B878" s="47"/>
      <c r="C878" s="51"/>
      <c r="D878" s="51"/>
      <c r="E878" s="51"/>
      <c r="F878" s="48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8"/>
      <c r="BK878" s="48"/>
      <c r="BL878" s="48"/>
      <c r="BM878" s="48"/>
      <c r="BN878" s="48"/>
      <c r="BO878" s="48"/>
      <c r="BP878" s="48"/>
      <c r="BQ878" s="48"/>
      <c r="BR878" s="48"/>
      <c r="BS878" s="48"/>
      <c r="BT878" s="48"/>
      <c r="BU878" s="48"/>
      <c r="BV878" s="48"/>
      <c r="BW878" s="48"/>
      <c r="BX878" s="48"/>
      <c r="BY878" s="48"/>
      <c r="BZ878" s="48"/>
    </row>
    <row r="879" spans="1:78" ht="15.75" x14ac:dyDescent="0.25">
      <c r="A879" s="20"/>
      <c r="B879" s="47"/>
      <c r="C879" s="51"/>
      <c r="D879" s="51"/>
      <c r="E879" s="51"/>
      <c r="F879" s="48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8"/>
      <c r="BK879" s="48"/>
      <c r="BL879" s="48"/>
      <c r="BM879" s="48"/>
      <c r="BN879" s="48"/>
      <c r="BO879" s="48"/>
      <c r="BP879" s="48"/>
      <c r="BQ879" s="48"/>
      <c r="BR879" s="48"/>
      <c r="BS879" s="48"/>
      <c r="BT879" s="48"/>
      <c r="BU879" s="48"/>
      <c r="BV879" s="48"/>
      <c r="BW879" s="48"/>
      <c r="BX879" s="48"/>
      <c r="BY879" s="48"/>
      <c r="BZ879" s="48"/>
    </row>
    <row r="880" spans="1:78" ht="15.75" x14ac:dyDescent="0.25">
      <c r="A880" s="20"/>
      <c r="B880" s="47"/>
      <c r="C880" s="51"/>
      <c r="D880" s="51"/>
      <c r="E880" s="51"/>
      <c r="F880" s="48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48"/>
      <c r="BL880" s="48"/>
      <c r="BM880" s="48"/>
      <c r="BN880" s="48"/>
      <c r="BO880" s="48"/>
      <c r="BP880" s="48"/>
      <c r="BQ880" s="48"/>
      <c r="BR880" s="48"/>
      <c r="BS880" s="48"/>
      <c r="BT880" s="48"/>
      <c r="BU880" s="48"/>
      <c r="BV880" s="48"/>
      <c r="BW880" s="48"/>
      <c r="BX880" s="48"/>
      <c r="BY880" s="48"/>
      <c r="BZ880" s="48"/>
    </row>
    <row r="881" spans="1:78" ht="15.75" x14ac:dyDescent="0.25">
      <c r="A881" s="20"/>
      <c r="B881" s="47"/>
      <c r="C881" s="51"/>
      <c r="D881" s="51"/>
      <c r="E881" s="51"/>
      <c r="F881" s="48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8"/>
      <c r="BK881" s="48"/>
      <c r="BL881" s="48"/>
      <c r="BM881" s="48"/>
      <c r="BN881" s="48"/>
      <c r="BO881" s="48"/>
      <c r="BP881" s="48"/>
      <c r="BQ881" s="48"/>
      <c r="BR881" s="48"/>
      <c r="BS881" s="48"/>
      <c r="BT881" s="48"/>
      <c r="BU881" s="48"/>
      <c r="BV881" s="48"/>
      <c r="BW881" s="48"/>
      <c r="BX881" s="48"/>
      <c r="BY881" s="48"/>
      <c r="BZ881" s="48"/>
    </row>
    <row r="882" spans="1:78" ht="15.75" x14ac:dyDescent="0.25">
      <c r="A882" s="20"/>
      <c r="B882" s="47"/>
      <c r="C882" s="51"/>
      <c r="D882" s="51"/>
      <c r="E882" s="51"/>
      <c r="F882" s="48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8"/>
      <c r="BK882" s="48"/>
      <c r="BL882" s="48"/>
      <c r="BM882" s="48"/>
      <c r="BN882" s="48"/>
      <c r="BO882" s="48"/>
      <c r="BP882" s="48"/>
      <c r="BQ882" s="48"/>
      <c r="BR882" s="48"/>
      <c r="BS882" s="48"/>
      <c r="BT882" s="48"/>
      <c r="BU882" s="48"/>
      <c r="BV882" s="48"/>
      <c r="BW882" s="48"/>
      <c r="BX882" s="48"/>
      <c r="BY882" s="48"/>
      <c r="BZ882" s="48"/>
    </row>
    <row r="883" spans="1:78" ht="15.75" x14ac:dyDescent="0.25">
      <c r="A883" s="20"/>
      <c r="B883" s="47"/>
      <c r="C883" s="51"/>
      <c r="D883" s="51"/>
      <c r="E883" s="51"/>
      <c r="F883" s="48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8"/>
      <c r="BK883" s="48"/>
      <c r="BL883" s="48"/>
      <c r="BM883" s="48"/>
      <c r="BN883" s="48"/>
      <c r="BO883" s="48"/>
      <c r="BP883" s="48"/>
      <c r="BQ883" s="48"/>
      <c r="BR883" s="48"/>
      <c r="BS883" s="48"/>
      <c r="BT883" s="48"/>
      <c r="BU883" s="48"/>
      <c r="BV883" s="48"/>
      <c r="BW883" s="48"/>
      <c r="BX883" s="48"/>
      <c r="BY883" s="48"/>
      <c r="BZ883" s="48"/>
    </row>
    <row r="884" spans="1:78" ht="15.75" x14ac:dyDescent="0.25">
      <c r="A884" s="20"/>
      <c r="B884" s="47"/>
      <c r="C884" s="51"/>
      <c r="D884" s="51"/>
      <c r="E884" s="51"/>
      <c r="F884" s="48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8"/>
      <c r="BK884" s="48"/>
      <c r="BL884" s="48"/>
      <c r="BM884" s="48"/>
      <c r="BN884" s="48"/>
      <c r="BO884" s="48"/>
      <c r="BP884" s="48"/>
      <c r="BQ884" s="48"/>
      <c r="BR884" s="48"/>
      <c r="BS884" s="48"/>
      <c r="BT884" s="48"/>
      <c r="BU884" s="48"/>
      <c r="BV884" s="48"/>
      <c r="BW884" s="48"/>
      <c r="BX884" s="48"/>
      <c r="BY884" s="48"/>
      <c r="BZ884" s="48"/>
    </row>
    <row r="885" spans="1:78" ht="15.75" x14ac:dyDescent="0.25">
      <c r="A885" s="20"/>
      <c r="B885" s="47"/>
      <c r="C885" s="51"/>
      <c r="D885" s="51"/>
      <c r="E885" s="51"/>
      <c r="F885" s="48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8"/>
      <c r="BK885" s="48"/>
      <c r="BL885" s="48"/>
      <c r="BM885" s="48"/>
      <c r="BN885" s="48"/>
      <c r="BO885" s="48"/>
      <c r="BP885" s="48"/>
      <c r="BQ885" s="48"/>
      <c r="BR885" s="48"/>
      <c r="BS885" s="48"/>
      <c r="BT885" s="48"/>
      <c r="BU885" s="48"/>
      <c r="BV885" s="48"/>
      <c r="BW885" s="48"/>
      <c r="BX885" s="48"/>
      <c r="BY885" s="48"/>
      <c r="BZ885" s="48"/>
    </row>
    <row r="886" spans="1:78" ht="15.75" x14ac:dyDescent="0.25">
      <c r="A886" s="20"/>
      <c r="B886" s="47"/>
      <c r="C886" s="51"/>
      <c r="D886" s="51"/>
      <c r="E886" s="51"/>
      <c r="F886" s="48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48"/>
      <c r="BL886" s="48"/>
      <c r="BM886" s="48"/>
      <c r="BN886" s="48"/>
      <c r="BO886" s="48"/>
      <c r="BP886" s="48"/>
      <c r="BQ886" s="48"/>
      <c r="BR886" s="48"/>
      <c r="BS886" s="48"/>
      <c r="BT886" s="48"/>
      <c r="BU886" s="48"/>
      <c r="BV886" s="48"/>
      <c r="BW886" s="48"/>
      <c r="BX886" s="48"/>
      <c r="BY886" s="48"/>
      <c r="BZ886" s="48"/>
    </row>
    <row r="887" spans="1:78" ht="15.75" x14ac:dyDescent="0.25">
      <c r="A887" s="20"/>
      <c r="B887" s="47"/>
      <c r="C887" s="51"/>
      <c r="D887" s="51"/>
      <c r="E887" s="51"/>
      <c r="F887" s="48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8"/>
      <c r="BK887" s="48"/>
      <c r="BL887" s="48"/>
      <c r="BM887" s="48"/>
      <c r="BN887" s="48"/>
      <c r="BO887" s="48"/>
      <c r="BP887" s="48"/>
      <c r="BQ887" s="48"/>
      <c r="BR887" s="48"/>
      <c r="BS887" s="48"/>
      <c r="BT887" s="48"/>
      <c r="BU887" s="48"/>
      <c r="BV887" s="48"/>
      <c r="BW887" s="48"/>
      <c r="BX887" s="48"/>
      <c r="BY887" s="48"/>
      <c r="BZ887" s="48"/>
    </row>
    <row r="888" spans="1:78" ht="15.75" x14ac:dyDescent="0.25">
      <c r="A888" s="20"/>
      <c r="B888" s="47"/>
      <c r="C888" s="51"/>
      <c r="D888" s="51"/>
      <c r="E888" s="51"/>
      <c r="F888" s="48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8"/>
      <c r="BK888" s="48"/>
      <c r="BL888" s="48"/>
      <c r="BM888" s="48"/>
      <c r="BN888" s="48"/>
      <c r="BO888" s="48"/>
      <c r="BP888" s="48"/>
      <c r="BQ888" s="48"/>
      <c r="BR888" s="48"/>
      <c r="BS888" s="48"/>
      <c r="BT888" s="48"/>
      <c r="BU888" s="48"/>
      <c r="BV888" s="48"/>
      <c r="BW888" s="48"/>
      <c r="BX888" s="48"/>
      <c r="BY888" s="48"/>
      <c r="BZ888" s="48"/>
    </row>
    <row r="889" spans="1:78" ht="15.75" x14ac:dyDescent="0.25">
      <c r="A889" s="20"/>
      <c r="B889" s="47"/>
      <c r="C889" s="51"/>
      <c r="D889" s="51"/>
      <c r="E889" s="51"/>
      <c r="F889" s="48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8"/>
      <c r="BK889" s="48"/>
      <c r="BL889" s="48"/>
      <c r="BM889" s="48"/>
      <c r="BN889" s="48"/>
      <c r="BO889" s="48"/>
      <c r="BP889" s="48"/>
      <c r="BQ889" s="48"/>
      <c r="BR889" s="48"/>
      <c r="BS889" s="48"/>
      <c r="BT889" s="48"/>
      <c r="BU889" s="48"/>
      <c r="BV889" s="48"/>
      <c r="BW889" s="48"/>
      <c r="BX889" s="48"/>
      <c r="BY889" s="48"/>
      <c r="BZ889" s="48"/>
    </row>
    <row r="890" spans="1:78" ht="15.75" x14ac:dyDescent="0.25">
      <c r="A890" s="20"/>
      <c r="B890" s="47"/>
      <c r="C890" s="51"/>
      <c r="D890" s="51"/>
      <c r="E890" s="51"/>
      <c r="F890" s="48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8"/>
      <c r="BK890" s="48"/>
      <c r="BL890" s="48"/>
      <c r="BM890" s="48"/>
      <c r="BN890" s="48"/>
      <c r="BO890" s="48"/>
      <c r="BP890" s="48"/>
      <c r="BQ890" s="48"/>
      <c r="BR890" s="48"/>
      <c r="BS890" s="48"/>
      <c r="BT890" s="48"/>
      <c r="BU890" s="48"/>
      <c r="BV890" s="48"/>
      <c r="BW890" s="48"/>
      <c r="BX890" s="48"/>
      <c r="BY890" s="48"/>
      <c r="BZ890" s="48"/>
    </row>
    <row r="891" spans="1:78" ht="15.75" x14ac:dyDescent="0.25">
      <c r="A891" s="20"/>
      <c r="B891" s="47"/>
      <c r="C891" s="51"/>
      <c r="D891" s="51"/>
      <c r="E891" s="51"/>
      <c r="F891" s="48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8"/>
      <c r="BK891" s="48"/>
      <c r="BL891" s="48"/>
      <c r="BM891" s="48"/>
      <c r="BN891" s="48"/>
      <c r="BO891" s="48"/>
      <c r="BP891" s="48"/>
      <c r="BQ891" s="48"/>
      <c r="BR891" s="48"/>
      <c r="BS891" s="48"/>
      <c r="BT891" s="48"/>
      <c r="BU891" s="48"/>
      <c r="BV891" s="48"/>
      <c r="BW891" s="48"/>
      <c r="BX891" s="48"/>
      <c r="BY891" s="48"/>
      <c r="BZ891" s="48"/>
    </row>
    <row r="892" spans="1:78" ht="15.75" x14ac:dyDescent="0.25">
      <c r="A892" s="20"/>
      <c r="B892" s="47"/>
      <c r="C892" s="51"/>
      <c r="D892" s="51"/>
      <c r="E892" s="51"/>
      <c r="F892" s="48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8"/>
      <c r="BK892" s="48"/>
      <c r="BL892" s="48"/>
      <c r="BM892" s="48"/>
      <c r="BN892" s="48"/>
      <c r="BO892" s="48"/>
      <c r="BP892" s="48"/>
      <c r="BQ892" s="48"/>
      <c r="BR892" s="48"/>
      <c r="BS892" s="48"/>
      <c r="BT892" s="48"/>
      <c r="BU892" s="48"/>
      <c r="BV892" s="48"/>
      <c r="BW892" s="48"/>
      <c r="BX892" s="48"/>
      <c r="BY892" s="48"/>
      <c r="BZ892" s="48"/>
    </row>
    <row r="893" spans="1:78" ht="15.75" x14ac:dyDescent="0.25">
      <c r="A893" s="20"/>
      <c r="B893" s="47"/>
      <c r="C893" s="51"/>
      <c r="D893" s="51"/>
      <c r="E893" s="51"/>
      <c r="F893" s="48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48"/>
      <c r="BL893" s="48"/>
      <c r="BM893" s="48"/>
      <c r="BN893" s="48"/>
      <c r="BO893" s="48"/>
      <c r="BP893" s="48"/>
      <c r="BQ893" s="48"/>
      <c r="BR893" s="48"/>
      <c r="BS893" s="48"/>
      <c r="BT893" s="48"/>
      <c r="BU893" s="48"/>
      <c r="BV893" s="48"/>
      <c r="BW893" s="48"/>
      <c r="BX893" s="48"/>
      <c r="BY893" s="48"/>
      <c r="BZ893" s="48"/>
    </row>
    <row r="894" spans="1:78" ht="15.75" x14ac:dyDescent="0.25">
      <c r="A894" s="20"/>
      <c r="B894" s="47"/>
      <c r="C894" s="51"/>
      <c r="D894" s="51"/>
      <c r="E894" s="51"/>
      <c r="F894" s="48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8"/>
      <c r="BK894" s="48"/>
      <c r="BL894" s="48"/>
      <c r="BM894" s="48"/>
      <c r="BN894" s="48"/>
      <c r="BO894" s="48"/>
      <c r="BP894" s="48"/>
      <c r="BQ894" s="48"/>
      <c r="BR894" s="48"/>
      <c r="BS894" s="48"/>
      <c r="BT894" s="48"/>
      <c r="BU894" s="48"/>
      <c r="BV894" s="48"/>
      <c r="BW894" s="48"/>
      <c r="BX894" s="48"/>
      <c r="BY894" s="48"/>
      <c r="BZ894" s="48"/>
    </row>
    <row r="895" spans="1:78" ht="15.75" x14ac:dyDescent="0.25">
      <c r="A895" s="20"/>
      <c r="B895" s="47"/>
      <c r="C895" s="51"/>
      <c r="D895" s="51"/>
      <c r="E895" s="51"/>
      <c r="F895" s="48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8"/>
      <c r="BK895" s="48"/>
      <c r="BL895" s="48"/>
      <c r="BM895" s="48"/>
      <c r="BN895" s="48"/>
      <c r="BO895" s="48"/>
      <c r="BP895" s="48"/>
      <c r="BQ895" s="48"/>
      <c r="BR895" s="48"/>
      <c r="BS895" s="48"/>
      <c r="BT895" s="48"/>
      <c r="BU895" s="48"/>
      <c r="BV895" s="48"/>
      <c r="BW895" s="48"/>
      <c r="BX895" s="48"/>
      <c r="BY895" s="48"/>
      <c r="BZ895" s="48"/>
    </row>
    <row r="896" spans="1:78" ht="15.75" x14ac:dyDescent="0.25">
      <c r="A896" s="20"/>
      <c r="B896" s="47"/>
      <c r="C896" s="51"/>
      <c r="D896" s="51"/>
      <c r="E896" s="51"/>
      <c r="F896" s="48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8"/>
      <c r="BK896" s="48"/>
      <c r="BL896" s="48"/>
      <c r="BM896" s="48"/>
      <c r="BN896" s="48"/>
      <c r="BO896" s="48"/>
      <c r="BP896" s="48"/>
      <c r="BQ896" s="48"/>
      <c r="BR896" s="48"/>
      <c r="BS896" s="48"/>
      <c r="BT896" s="48"/>
      <c r="BU896" s="48"/>
      <c r="BV896" s="48"/>
      <c r="BW896" s="48"/>
      <c r="BX896" s="48"/>
      <c r="BY896" s="48"/>
      <c r="BZ896" s="48"/>
    </row>
    <row r="897" spans="1:78" ht="15.75" x14ac:dyDescent="0.25">
      <c r="A897" s="20"/>
      <c r="B897" s="47"/>
      <c r="C897" s="51"/>
      <c r="D897" s="51"/>
      <c r="E897" s="51"/>
      <c r="F897" s="48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8"/>
      <c r="BK897" s="48"/>
      <c r="BL897" s="48"/>
      <c r="BM897" s="48"/>
      <c r="BN897" s="48"/>
      <c r="BO897" s="48"/>
      <c r="BP897" s="48"/>
      <c r="BQ897" s="48"/>
      <c r="BR897" s="48"/>
      <c r="BS897" s="48"/>
      <c r="BT897" s="48"/>
      <c r="BU897" s="48"/>
      <c r="BV897" s="48"/>
      <c r="BW897" s="48"/>
      <c r="BX897" s="48"/>
      <c r="BY897" s="48"/>
      <c r="BZ897" s="48"/>
    </row>
    <row r="898" spans="1:78" ht="15.75" x14ac:dyDescent="0.25">
      <c r="A898" s="20"/>
      <c r="B898" s="47"/>
      <c r="C898" s="51"/>
      <c r="D898" s="51"/>
      <c r="E898" s="51"/>
      <c r="F898" s="48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8"/>
      <c r="BK898" s="48"/>
      <c r="BL898" s="48"/>
      <c r="BM898" s="48"/>
      <c r="BN898" s="48"/>
      <c r="BO898" s="48"/>
      <c r="BP898" s="48"/>
      <c r="BQ898" s="48"/>
      <c r="BR898" s="48"/>
      <c r="BS898" s="48"/>
      <c r="BT898" s="48"/>
      <c r="BU898" s="48"/>
      <c r="BV898" s="48"/>
      <c r="BW898" s="48"/>
      <c r="BX898" s="48"/>
      <c r="BY898" s="48"/>
      <c r="BZ898" s="48"/>
    </row>
    <row r="899" spans="1:78" ht="15.75" x14ac:dyDescent="0.25">
      <c r="A899" s="20"/>
      <c r="B899" s="47"/>
      <c r="C899" s="51"/>
      <c r="D899" s="51"/>
      <c r="E899" s="51"/>
      <c r="F899" s="48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8"/>
      <c r="BK899" s="48"/>
      <c r="BL899" s="48"/>
      <c r="BM899" s="48"/>
      <c r="BN899" s="48"/>
      <c r="BO899" s="48"/>
      <c r="BP899" s="48"/>
      <c r="BQ899" s="48"/>
      <c r="BR899" s="48"/>
      <c r="BS899" s="48"/>
      <c r="BT899" s="48"/>
      <c r="BU899" s="48"/>
      <c r="BV899" s="48"/>
      <c r="BW899" s="48"/>
      <c r="BX899" s="48"/>
      <c r="BY899" s="48"/>
      <c r="BZ899" s="48"/>
    </row>
    <row r="900" spans="1:78" ht="15.75" x14ac:dyDescent="0.25">
      <c r="A900" s="20"/>
      <c r="B900" s="47"/>
      <c r="C900" s="51"/>
      <c r="D900" s="51"/>
      <c r="E900" s="51"/>
      <c r="F900" s="48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8"/>
      <c r="BK900" s="48"/>
      <c r="BL900" s="48"/>
      <c r="BM900" s="48"/>
      <c r="BN900" s="48"/>
      <c r="BO900" s="48"/>
      <c r="BP900" s="48"/>
      <c r="BQ900" s="48"/>
      <c r="BR900" s="48"/>
      <c r="BS900" s="48"/>
      <c r="BT900" s="48"/>
      <c r="BU900" s="48"/>
      <c r="BV900" s="48"/>
      <c r="BW900" s="48"/>
      <c r="BX900" s="48"/>
      <c r="BY900" s="48"/>
      <c r="BZ900" s="48"/>
    </row>
    <row r="901" spans="1:78" ht="15.75" x14ac:dyDescent="0.25">
      <c r="A901" s="20"/>
      <c r="B901" s="47"/>
      <c r="C901" s="51"/>
      <c r="D901" s="51"/>
      <c r="E901" s="51"/>
      <c r="F901" s="48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8"/>
      <c r="BK901" s="48"/>
      <c r="BL901" s="48"/>
      <c r="BM901" s="48"/>
      <c r="BN901" s="48"/>
      <c r="BO901" s="48"/>
      <c r="BP901" s="48"/>
      <c r="BQ901" s="48"/>
      <c r="BR901" s="48"/>
      <c r="BS901" s="48"/>
      <c r="BT901" s="48"/>
      <c r="BU901" s="48"/>
      <c r="BV901" s="48"/>
      <c r="BW901" s="48"/>
      <c r="BX901" s="48"/>
      <c r="BY901" s="48"/>
      <c r="BZ901" s="48"/>
    </row>
    <row r="902" spans="1:78" ht="15.75" x14ac:dyDescent="0.25">
      <c r="A902" s="20"/>
      <c r="B902" s="47"/>
      <c r="C902" s="51"/>
      <c r="D902" s="51"/>
      <c r="E902" s="51"/>
      <c r="F902" s="48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8"/>
      <c r="BK902" s="48"/>
      <c r="BL902" s="48"/>
      <c r="BM902" s="48"/>
      <c r="BN902" s="48"/>
      <c r="BO902" s="48"/>
      <c r="BP902" s="48"/>
      <c r="BQ902" s="48"/>
      <c r="BR902" s="48"/>
      <c r="BS902" s="48"/>
      <c r="BT902" s="48"/>
      <c r="BU902" s="48"/>
      <c r="BV902" s="48"/>
      <c r="BW902" s="48"/>
      <c r="BX902" s="48"/>
      <c r="BY902" s="48"/>
      <c r="BZ902" s="48"/>
    </row>
    <row r="903" spans="1:78" ht="15.75" x14ac:dyDescent="0.25">
      <c r="A903" s="20"/>
      <c r="B903" s="47"/>
      <c r="C903" s="51"/>
      <c r="D903" s="51"/>
      <c r="E903" s="51"/>
      <c r="F903" s="48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8"/>
      <c r="BK903" s="48"/>
      <c r="BL903" s="48"/>
      <c r="BM903" s="48"/>
      <c r="BN903" s="48"/>
      <c r="BO903" s="48"/>
      <c r="BP903" s="48"/>
      <c r="BQ903" s="48"/>
      <c r="BR903" s="48"/>
      <c r="BS903" s="48"/>
      <c r="BT903" s="48"/>
      <c r="BU903" s="48"/>
      <c r="BV903" s="48"/>
      <c r="BW903" s="48"/>
      <c r="BX903" s="48"/>
      <c r="BY903" s="48"/>
      <c r="BZ903" s="48"/>
    </row>
    <row r="904" spans="1:78" ht="15.75" x14ac:dyDescent="0.25">
      <c r="A904" s="20"/>
      <c r="B904" s="47"/>
      <c r="C904" s="51"/>
      <c r="D904" s="51"/>
      <c r="E904" s="51"/>
      <c r="F904" s="48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8"/>
      <c r="BK904" s="48"/>
      <c r="BL904" s="48"/>
      <c r="BM904" s="48"/>
      <c r="BN904" s="48"/>
      <c r="BO904" s="48"/>
      <c r="BP904" s="48"/>
      <c r="BQ904" s="48"/>
      <c r="BR904" s="48"/>
      <c r="BS904" s="48"/>
      <c r="BT904" s="48"/>
      <c r="BU904" s="48"/>
      <c r="BV904" s="48"/>
      <c r="BW904" s="48"/>
      <c r="BX904" s="48"/>
      <c r="BY904" s="48"/>
      <c r="BZ904" s="48"/>
    </row>
    <row r="905" spans="1:78" ht="15.75" x14ac:dyDescent="0.25">
      <c r="A905" s="20"/>
      <c r="B905" s="47"/>
      <c r="C905" s="51"/>
      <c r="D905" s="51"/>
      <c r="E905" s="51"/>
      <c r="F905" s="48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8"/>
      <c r="BK905" s="48"/>
      <c r="BL905" s="48"/>
      <c r="BM905" s="48"/>
      <c r="BN905" s="48"/>
      <c r="BO905" s="48"/>
      <c r="BP905" s="48"/>
      <c r="BQ905" s="48"/>
      <c r="BR905" s="48"/>
      <c r="BS905" s="48"/>
      <c r="BT905" s="48"/>
      <c r="BU905" s="48"/>
      <c r="BV905" s="48"/>
      <c r="BW905" s="48"/>
      <c r="BX905" s="48"/>
      <c r="BY905" s="48"/>
      <c r="BZ905" s="48"/>
    </row>
    <row r="906" spans="1:78" ht="15.75" x14ac:dyDescent="0.25">
      <c r="A906" s="20"/>
      <c r="B906" s="47"/>
      <c r="C906" s="51"/>
      <c r="D906" s="51"/>
      <c r="E906" s="51"/>
      <c r="F906" s="48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8"/>
      <c r="BK906" s="48"/>
      <c r="BL906" s="48"/>
      <c r="BM906" s="48"/>
      <c r="BN906" s="48"/>
      <c r="BO906" s="48"/>
      <c r="BP906" s="48"/>
      <c r="BQ906" s="48"/>
      <c r="BR906" s="48"/>
      <c r="BS906" s="48"/>
      <c r="BT906" s="48"/>
      <c r="BU906" s="48"/>
      <c r="BV906" s="48"/>
      <c r="BW906" s="48"/>
      <c r="BX906" s="48"/>
      <c r="BY906" s="48"/>
      <c r="BZ906" s="48"/>
    </row>
    <row r="907" spans="1:78" ht="15.75" x14ac:dyDescent="0.25">
      <c r="A907" s="20"/>
      <c r="B907" s="47"/>
      <c r="C907" s="51"/>
      <c r="D907" s="51"/>
      <c r="E907" s="51"/>
      <c r="F907" s="48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8"/>
      <c r="BK907" s="48"/>
      <c r="BL907" s="48"/>
      <c r="BM907" s="48"/>
      <c r="BN907" s="48"/>
      <c r="BO907" s="48"/>
      <c r="BP907" s="48"/>
      <c r="BQ907" s="48"/>
      <c r="BR907" s="48"/>
      <c r="BS907" s="48"/>
      <c r="BT907" s="48"/>
      <c r="BU907" s="48"/>
      <c r="BV907" s="48"/>
      <c r="BW907" s="48"/>
      <c r="BX907" s="48"/>
      <c r="BY907" s="48"/>
      <c r="BZ907" s="48"/>
    </row>
    <row r="908" spans="1:78" ht="15.75" x14ac:dyDescent="0.25">
      <c r="A908" s="20"/>
      <c r="B908" s="47"/>
      <c r="C908" s="51"/>
      <c r="D908" s="51"/>
      <c r="E908" s="51"/>
      <c r="F908" s="48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8"/>
      <c r="BK908" s="48"/>
      <c r="BL908" s="48"/>
      <c r="BM908" s="48"/>
      <c r="BN908" s="48"/>
      <c r="BO908" s="48"/>
      <c r="BP908" s="48"/>
      <c r="BQ908" s="48"/>
      <c r="BR908" s="48"/>
      <c r="BS908" s="48"/>
      <c r="BT908" s="48"/>
      <c r="BU908" s="48"/>
      <c r="BV908" s="48"/>
      <c r="BW908" s="48"/>
      <c r="BX908" s="48"/>
      <c r="BY908" s="48"/>
      <c r="BZ908" s="48"/>
    </row>
    <row r="909" spans="1:78" ht="15.75" x14ac:dyDescent="0.25">
      <c r="A909" s="20"/>
      <c r="B909" s="47"/>
      <c r="C909" s="51"/>
      <c r="D909" s="51"/>
      <c r="E909" s="51"/>
      <c r="F909" s="48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8"/>
      <c r="BK909" s="48"/>
      <c r="BL909" s="48"/>
      <c r="BM909" s="48"/>
      <c r="BN909" s="48"/>
      <c r="BO909" s="48"/>
      <c r="BP909" s="48"/>
      <c r="BQ909" s="48"/>
      <c r="BR909" s="48"/>
      <c r="BS909" s="48"/>
      <c r="BT909" s="48"/>
      <c r="BU909" s="48"/>
      <c r="BV909" s="48"/>
      <c r="BW909" s="48"/>
      <c r="BX909" s="48"/>
      <c r="BY909" s="48"/>
      <c r="BZ909" s="48"/>
    </row>
    <row r="910" spans="1:78" ht="15.75" x14ac:dyDescent="0.25">
      <c r="A910" s="20"/>
      <c r="B910" s="47"/>
      <c r="C910" s="51"/>
      <c r="D910" s="51"/>
      <c r="E910" s="51"/>
      <c r="F910" s="48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8"/>
      <c r="BK910" s="48"/>
      <c r="BL910" s="48"/>
      <c r="BM910" s="48"/>
      <c r="BN910" s="48"/>
      <c r="BO910" s="48"/>
      <c r="BP910" s="48"/>
      <c r="BQ910" s="48"/>
      <c r="BR910" s="48"/>
      <c r="BS910" s="48"/>
      <c r="BT910" s="48"/>
      <c r="BU910" s="48"/>
      <c r="BV910" s="48"/>
      <c r="BW910" s="48"/>
      <c r="BX910" s="48"/>
      <c r="BY910" s="48"/>
      <c r="BZ910" s="48"/>
    </row>
    <row r="911" spans="1:78" ht="15.75" x14ac:dyDescent="0.25">
      <c r="A911" s="20"/>
      <c r="B911" s="47"/>
      <c r="C911" s="51"/>
      <c r="D911" s="51"/>
      <c r="E911" s="51"/>
      <c r="F911" s="48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8"/>
      <c r="BK911" s="48"/>
      <c r="BL911" s="48"/>
      <c r="BM911" s="48"/>
      <c r="BN911" s="48"/>
      <c r="BO911" s="48"/>
      <c r="BP911" s="48"/>
      <c r="BQ911" s="48"/>
      <c r="BR911" s="48"/>
      <c r="BS911" s="48"/>
      <c r="BT911" s="48"/>
      <c r="BU911" s="48"/>
      <c r="BV911" s="48"/>
      <c r="BW911" s="48"/>
      <c r="BX911" s="48"/>
      <c r="BY911" s="48"/>
      <c r="BZ911" s="48"/>
    </row>
    <row r="912" spans="1:78" ht="15.75" x14ac:dyDescent="0.25">
      <c r="A912" s="20"/>
      <c r="B912" s="47"/>
      <c r="C912" s="51"/>
      <c r="D912" s="51"/>
      <c r="E912" s="51"/>
      <c r="F912" s="48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8"/>
      <c r="BK912" s="48"/>
      <c r="BL912" s="48"/>
      <c r="BM912" s="48"/>
      <c r="BN912" s="48"/>
      <c r="BO912" s="48"/>
      <c r="BP912" s="48"/>
      <c r="BQ912" s="48"/>
      <c r="BR912" s="48"/>
      <c r="BS912" s="48"/>
      <c r="BT912" s="48"/>
      <c r="BU912" s="48"/>
      <c r="BV912" s="48"/>
      <c r="BW912" s="48"/>
      <c r="BX912" s="48"/>
      <c r="BY912" s="48"/>
      <c r="BZ912" s="48"/>
    </row>
    <row r="913" spans="1:78" ht="15.75" x14ac:dyDescent="0.25">
      <c r="A913" s="20"/>
      <c r="B913" s="47"/>
      <c r="C913" s="51"/>
      <c r="D913" s="51"/>
      <c r="E913" s="51"/>
      <c r="F913" s="48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8"/>
      <c r="BK913" s="48"/>
      <c r="BL913" s="48"/>
      <c r="BM913" s="48"/>
      <c r="BN913" s="48"/>
      <c r="BO913" s="48"/>
      <c r="BP913" s="48"/>
      <c r="BQ913" s="48"/>
      <c r="BR913" s="48"/>
      <c r="BS913" s="48"/>
      <c r="BT913" s="48"/>
      <c r="BU913" s="48"/>
      <c r="BV913" s="48"/>
      <c r="BW913" s="48"/>
      <c r="BX913" s="48"/>
      <c r="BY913" s="48"/>
      <c r="BZ913" s="48"/>
    </row>
    <row r="914" spans="1:78" ht="15.75" x14ac:dyDescent="0.25">
      <c r="A914" s="20"/>
      <c r="B914" s="47"/>
      <c r="C914" s="51"/>
      <c r="D914" s="51"/>
      <c r="E914" s="51"/>
      <c r="F914" s="48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8"/>
      <c r="BK914" s="48"/>
      <c r="BL914" s="48"/>
      <c r="BM914" s="48"/>
      <c r="BN914" s="48"/>
      <c r="BO914" s="48"/>
      <c r="BP914" s="48"/>
      <c r="BQ914" s="48"/>
      <c r="BR914" s="48"/>
      <c r="BS914" s="48"/>
      <c r="BT914" s="48"/>
      <c r="BU914" s="48"/>
      <c r="BV914" s="48"/>
      <c r="BW914" s="48"/>
      <c r="BX914" s="48"/>
      <c r="BY914" s="48"/>
      <c r="BZ914" s="48"/>
    </row>
    <row r="915" spans="1:78" ht="15.75" x14ac:dyDescent="0.25">
      <c r="A915" s="20"/>
      <c r="B915" s="47"/>
      <c r="C915" s="51"/>
      <c r="D915" s="51"/>
      <c r="E915" s="51"/>
      <c r="F915" s="48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8"/>
      <c r="BK915" s="48"/>
      <c r="BL915" s="48"/>
      <c r="BM915" s="48"/>
      <c r="BN915" s="48"/>
      <c r="BO915" s="48"/>
      <c r="BP915" s="48"/>
      <c r="BQ915" s="48"/>
      <c r="BR915" s="48"/>
      <c r="BS915" s="48"/>
      <c r="BT915" s="48"/>
      <c r="BU915" s="48"/>
      <c r="BV915" s="48"/>
      <c r="BW915" s="48"/>
      <c r="BX915" s="48"/>
      <c r="BY915" s="48"/>
      <c r="BZ915" s="48"/>
    </row>
    <row r="916" spans="1:78" ht="15.75" x14ac:dyDescent="0.25">
      <c r="A916" s="20"/>
      <c r="B916" s="47"/>
      <c r="C916" s="51"/>
      <c r="D916" s="51"/>
      <c r="E916" s="51"/>
      <c r="F916" s="48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48"/>
      <c r="BL916" s="48"/>
      <c r="BM916" s="48"/>
      <c r="BN916" s="48"/>
      <c r="BO916" s="48"/>
      <c r="BP916" s="48"/>
      <c r="BQ916" s="48"/>
      <c r="BR916" s="48"/>
      <c r="BS916" s="48"/>
      <c r="BT916" s="48"/>
      <c r="BU916" s="48"/>
      <c r="BV916" s="48"/>
      <c r="BW916" s="48"/>
      <c r="BX916" s="48"/>
      <c r="BY916" s="48"/>
      <c r="BZ916" s="48"/>
    </row>
    <row r="917" spans="1:78" ht="15.75" x14ac:dyDescent="0.25">
      <c r="A917" s="20"/>
      <c r="B917" s="47"/>
      <c r="C917" s="51"/>
      <c r="D917" s="51"/>
      <c r="E917" s="51"/>
      <c r="F917" s="48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8"/>
      <c r="BK917" s="48"/>
      <c r="BL917" s="48"/>
      <c r="BM917" s="48"/>
      <c r="BN917" s="48"/>
      <c r="BO917" s="48"/>
      <c r="BP917" s="48"/>
      <c r="BQ917" s="48"/>
      <c r="BR917" s="48"/>
      <c r="BS917" s="48"/>
      <c r="BT917" s="48"/>
      <c r="BU917" s="48"/>
      <c r="BV917" s="48"/>
      <c r="BW917" s="48"/>
      <c r="BX917" s="48"/>
      <c r="BY917" s="48"/>
      <c r="BZ917" s="48"/>
    </row>
    <row r="918" spans="1:78" ht="15.75" x14ac:dyDescent="0.25">
      <c r="A918" s="20"/>
      <c r="B918" s="47"/>
      <c r="C918" s="51"/>
      <c r="D918" s="51"/>
      <c r="E918" s="51"/>
      <c r="F918" s="48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8"/>
      <c r="BK918" s="48"/>
      <c r="BL918" s="48"/>
      <c r="BM918" s="48"/>
      <c r="BN918" s="48"/>
      <c r="BO918" s="48"/>
      <c r="BP918" s="48"/>
      <c r="BQ918" s="48"/>
      <c r="BR918" s="48"/>
      <c r="BS918" s="48"/>
      <c r="BT918" s="48"/>
      <c r="BU918" s="48"/>
      <c r="BV918" s="48"/>
      <c r="BW918" s="48"/>
      <c r="BX918" s="48"/>
      <c r="BY918" s="48"/>
      <c r="BZ918" s="48"/>
    </row>
    <row r="919" spans="1:78" ht="15.75" x14ac:dyDescent="0.25">
      <c r="A919" s="20"/>
      <c r="B919" s="47"/>
      <c r="C919" s="51"/>
      <c r="D919" s="51"/>
      <c r="E919" s="51"/>
      <c r="F919" s="48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8"/>
      <c r="BK919" s="48"/>
      <c r="BL919" s="48"/>
      <c r="BM919" s="48"/>
      <c r="BN919" s="48"/>
      <c r="BO919" s="48"/>
      <c r="BP919" s="48"/>
      <c r="BQ919" s="48"/>
      <c r="BR919" s="48"/>
      <c r="BS919" s="48"/>
      <c r="BT919" s="48"/>
      <c r="BU919" s="48"/>
      <c r="BV919" s="48"/>
      <c r="BW919" s="48"/>
      <c r="BX919" s="48"/>
      <c r="BY919" s="48"/>
      <c r="BZ919" s="48"/>
    </row>
    <row r="920" spans="1:78" ht="15.75" x14ac:dyDescent="0.25">
      <c r="A920" s="20"/>
      <c r="B920" s="47"/>
      <c r="C920" s="51"/>
      <c r="D920" s="51"/>
      <c r="E920" s="51"/>
      <c r="F920" s="48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8"/>
      <c r="BK920" s="48"/>
      <c r="BL920" s="48"/>
      <c r="BM920" s="48"/>
      <c r="BN920" s="48"/>
      <c r="BO920" s="48"/>
      <c r="BP920" s="48"/>
      <c r="BQ920" s="48"/>
      <c r="BR920" s="48"/>
      <c r="BS920" s="48"/>
      <c r="BT920" s="48"/>
      <c r="BU920" s="48"/>
      <c r="BV920" s="48"/>
      <c r="BW920" s="48"/>
      <c r="BX920" s="48"/>
      <c r="BY920" s="48"/>
      <c r="BZ920" s="48"/>
    </row>
    <row r="921" spans="1:78" ht="15.75" x14ac:dyDescent="0.25">
      <c r="A921" s="20"/>
      <c r="B921" s="47"/>
      <c r="C921" s="51"/>
      <c r="D921" s="51"/>
      <c r="E921" s="51"/>
      <c r="F921" s="48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8"/>
      <c r="BK921" s="48"/>
      <c r="BL921" s="48"/>
      <c r="BM921" s="48"/>
      <c r="BN921" s="48"/>
      <c r="BO921" s="48"/>
      <c r="BP921" s="48"/>
      <c r="BQ921" s="48"/>
      <c r="BR921" s="48"/>
      <c r="BS921" s="48"/>
      <c r="BT921" s="48"/>
      <c r="BU921" s="48"/>
      <c r="BV921" s="48"/>
      <c r="BW921" s="48"/>
      <c r="BX921" s="48"/>
      <c r="BY921" s="48"/>
      <c r="BZ921" s="48"/>
    </row>
    <row r="922" spans="1:78" ht="15.75" x14ac:dyDescent="0.25">
      <c r="A922" s="20"/>
      <c r="B922" s="47"/>
      <c r="C922" s="51"/>
      <c r="D922" s="51"/>
      <c r="E922" s="51"/>
      <c r="F922" s="48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8"/>
      <c r="BK922" s="48"/>
      <c r="BL922" s="48"/>
      <c r="BM922" s="48"/>
      <c r="BN922" s="48"/>
      <c r="BO922" s="48"/>
      <c r="BP922" s="48"/>
      <c r="BQ922" s="48"/>
      <c r="BR922" s="48"/>
      <c r="BS922" s="48"/>
      <c r="BT922" s="48"/>
      <c r="BU922" s="48"/>
      <c r="BV922" s="48"/>
      <c r="BW922" s="48"/>
      <c r="BX922" s="48"/>
      <c r="BY922" s="48"/>
      <c r="BZ922" s="48"/>
    </row>
    <row r="923" spans="1:78" ht="15.75" x14ac:dyDescent="0.25">
      <c r="A923" s="20"/>
      <c r="B923" s="47"/>
      <c r="C923" s="51"/>
      <c r="D923" s="51"/>
      <c r="E923" s="51"/>
      <c r="F923" s="48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8"/>
      <c r="BK923" s="48"/>
      <c r="BL923" s="48"/>
      <c r="BM923" s="48"/>
      <c r="BN923" s="48"/>
      <c r="BO923" s="48"/>
      <c r="BP923" s="48"/>
      <c r="BQ923" s="48"/>
      <c r="BR923" s="48"/>
      <c r="BS923" s="48"/>
      <c r="BT923" s="48"/>
      <c r="BU923" s="48"/>
      <c r="BV923" s="48"/>
      <c r="BW923" s="48"/>
      <c r="BX923" s="48"/>
      <c r="BY923" s="48"/>
      <c r="BZ923" s="48"/>
    </row>
    <row r="924" spans="1:78" ht="15.75" x14ac:dyDescent="0.25">
      <c r="A924" s="20"/>
      <c r="B924" s="47"/>
      <c r="C924" s="51"/>
      <c r="D924" s="51"/>
      <c r="E924" s="51"/>
      <c r="F924" s="48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8"/>
      <c r="BK924" s="48"/>
      <c r="BL924" s="48"/>
      <c r="BM924" s="48"/>
      <c r="BN924" s="48"/>
      <c r="BO924" s="48"/>
      <c r="BP924" s="48"/>
      <c r="BQ924" s="48"/>
      <c r="BR924" s="48"/>
      <c r="BS924" s="48"/>
      <c r="BT924" s="48"/>
      <c r="BU924" s="48"/>
      <c r="BV924" s="48"/>
      <c r="BW924" s="48"/>
      <c r="BX924" s="48"/>
      <c r="BY924" s="48"/>
      <c r="BZ924" s="48"/>
    </row>
    <row r="925" spans="1:78" ht="15.75" x14ac:dyDescent="0.25">
      <c r="A925" s="20"/>
      <c r="B925" s="47"/>
      <c r="C925" s="51"/>
      <c r="D925" s="51"/>
      <c r="E925" s="51"/>
      <c r="F925" s="48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8"/>
      <c r="BK925" s="48"/>
      <c r="BL925" s="48"/>
      <c r="BM925" s="48"/>
      <c r="BN925" s="48"/>
      <c r="BO925" s="48"/>
      <c r="BP925" s="48"/>
      <c r="BQ925" s="48"/>
      <c r="BR925" s="48"/>
      <c r="BS925" s="48"/>
      <c r="BT925" s="48"/>
      <c r="BU925" s="48"/>
      <c r="BV925" s="48"/>
      <c r="BW925" s="48"/>
      <c r="BX925" s="48"/>
      <c r="BY925" s="48"/>
      <c r="BZ925" s="48"/>
    </row>
    <row r="926" spans="1:78" ht="15.75" x14ac:dyDescent="0.25">
      <c r="A926" s="20"/>
      <c r="B926" s="47"/>
      <c r="C926" s="51"/>
      <c r="D926" s="51"/>
      <c r="E926" s="51"/>
      <c r="F926" s="48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8"/>
      <c r="BK926" s="48"/>
      <c r="BL926" s="48"/>
      <c r="BM926" s="48"/>
      <c r="BN926" s="48"/>
      <c r="BO926" s="48"/>
      <c r="BP926" s="48"/>
      <c r="BQ926" s="48"/>
      <c r="BR926" s="48"/>
      <c r="BS926" s="48"/>
      <c r="BT926" s="48"/>
      <c r="BU926" s="48"/>
      <c r="BV926" s="48"/>
      <c r="BW926" s="48"/>
      <c r="BX926" s="48"/>
      <c r="BY926" s="48"/>
      <c r="BZ926" s="48"/>
    </row>
    <row r="927" spans="1:78" ht="15.75" x14ac:dyDescent="0.25">
      <c r="A927" s="20"/>
      <c r="B927" s="47"/>
      <c r="C927" s="51"/>
      <c r="D927" s="51"/>
      <c r="E927" s="51"/>
      <c r="F927" s="48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8"/>
      <c r="BK927" s="48"/>
      <c r="BL927" s="48"/>
      <c r="BM927" s="48"/>
      <c r="BN927" s="48"/>
      <c r="BO927" s="48"/>
      <c r="BP927" s="48"/>
      <c r="BQ927" s="48"/>
      <c r="BR927" s="48"/>
      <c r="BS927" s="48"/>
      <c r="BT927" s="48"/>
      <c r="BU927" s="48"/>
      <c r="BV927" s="48"/>
      <c r="BW927" s="48"/>
      <c r="BX927" s="48"/>
      <c r="BY927" s="48"/>
      <c r="BZ927" s="48"/>
    </row>
    <row r="928" spans="1:78" ht="15.75" x14ac:dyDescent="0.25">
      <c r="A928" s="20"/>
      <c r="B928" s="47"/>
      <c r="C928" s="51"/>
      <c r="D928" s="51"/>
      <c r="E928" s="51"/>
      <c r="F928" s="48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8"/>
      <c r="BK928" s="48"/>
      <c r="BL928" s="48"/>
      <c r="BM928" s="48"/>
      <c r="BN928" s="48"/>
      <c r="BO928" s="48"/>
      <c r="BP928" s="48"/>
      <c r="BQ928" s="48"/>
      <c r="BR928" s="48"/>
      <c r="BS928" s="48"/>
      <c r="BT928" s="48"/>
      <c r="BU928" s="48"/>
      <c r="BV928" s="48"/>
      <c r="BW928" s="48"/>
      <c r="BX928" s="48"/>
      <c r="BY928" s="48"/>
      <c r="BZ928" s="48"/>
    </row>
    <row r="929" spans="1:78" ht="15.75" x14ac:dyDescent="0.25">
      <c r="A929" s="20"/>
      <c r="B929" s="47"/>
      <c r="C929" s="51"/>
      <c r="D929" s="51"/>
      <c r="E929" s="51"/>
      <c r="F929" s="48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8"/>
      <c r="BK929" s="48"/>
      <c r="BL929" s="48"/>
      <c r="BM929" s="48"/>
      <c r="BN929" s="48"/>
      <c r="BO929" s="48"/>
      <c r="BP929" s="48"/>
      <c r="BQ929" s="48"/>
      <c r="BR929" s="48"/>
      <c r="BS929" s="48"/>
      <c r="BT929" s="48"/>
      <c r="BU929" s="48"/>
      <c r="BV929" s="48"/>
      <c r="BW929" s="48"/>
      <c r="BX929" s="48"/>
      <c r="BY929" s="48"/>
      <c r="BZ929" s="48"/>
    </row>
    <row r="930" spans="1:78" ht="15.75" x14ac:dyDescent="0.25">
      <c r="A930" s="20"/>
      <c r="B930" s="47"/>
      <c r="C930" s="51"/>
      <c r="D930" s="51"/>
      <c r="E930" s="51"/>
      <c r="F930" s="48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8"/>
      <c r="BK930" s="48"/>
      <c r="BL930" s="48"/>
      <c r="BM930" s="48"/>
      <c r="BN930" s="48"/>
      <c r="BO930" s="48"/>
      <c r="BP930" s="48"/>
      <c r="BQ930" s="48"/>
      <c r="BR930" s="48"/>
      <c r="BS930" s="48"/>
      <c r="BT930" s="48"/>
      <c r="BU930" s="48"/>
      <c r="BV930" s="48"/>
      <c r="BW930" s="48"/>
      <c r="BX930" s="48"/>
      <c r="BY930" s="48"/>
      <c r="BZ930" s="48"/>
    </row>
    <row r="931" spans="1:78" ht="15.75" x14ac:dyDescent="0.25">
      <c r="A931" s="20"/>
      <c r="B931" s="47"/>
      <c r="C931" s="51"/>
      <c r="D931" s="51"/>
      <c r="E931" s="51"/>
      <c r="F931" s="48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8"/>
      <c r="BK931" s="48"/>
      <c r="BL931" s="48"/>
      <c r="BM931" s="48"/>
      <c r="BN931" s="48"/>
      <c r="BO931" s="48"/>
      <c r="BP931" s="48"/>
      <c r="BQ931" s="48"/>
      <c r="BR931" s="48"/>
      <c r="BS931" s="48"/>
      <c r="BT931" s="48"/>
      <c r="BU931" s="48"/>
      <c r="BV931" s="48"/>
      <c r="BW931" s="48"/>
      <c r="BX931" s="48"/>
      <c r="BY931" s="48"/>
      <c r="BZ931" s="48"/>
    </row>
    <row r="932" spans="1:78" ht="15.75" x14ac:dyDescent="0.25">
      <c r="A932" s="20"/>
      <c r="B932" s="47"/>
      <c r="C932" s="51"/>
      <c r="D932" s="51"/>
      <c r="E932" s="51"/>
      <c r="F932" s="48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8"/>
      <c r="BK932" s="48"/>
      <c r="BL932" s="48"/>
      <c r="BM932" s="48"/>
      <c r="BN932" s="48"/>
      <c r="BO932" s="48"/>
      <c r="BP932" s="48"/>
      <c r="BQ932" s="48"/>
      <c r="BR932" s="48"/>
      <c r="BS932" s="48"/>
      <c r="BT932" s="48"/>
      <c r="BU932" s="48"/>
      <c r="BV932" s="48"/>
      <c r="BW932" s="48"/>
      <c r="BX932" s="48"/>
      <c r="BY932" s="48"/>
      <c r="BZ932" s="48"/>
    </row>
    <row r="933" spans="1:78" ht="15.75" x14ac:dyDescent="0.25">
      <c r="A933" s="20"/>
      <c r="B933" s="47"/>
      <c r="C933" s="51"/>
      <c r="D933" s="51"/>
      <c r="E933" s="51"/>
      <c r="F933" s="48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8"/>
      <c r="BK933" s="48"/>
      <c r="BL933" s="48"/>
      <c r="BM933" s="48"/>
      <c r="BN933" s="48"/>
      <c r="BO933" s="48"/>
      <c r="BP933" s="48"/>
      <c r="BQ933" s="48"/>
      <c r="BR933" s="48"/>
      <c r="BS933" s="48"/>
      <c r="BT933" s="48"/>
      <c r="BU933" s="48"/>
      <c r="BV933" s="48"/>
      <c r="BW933" s="48"/>
      <c r="BX933" s="48"/>
      <c r="BY933" s="48"/>
      <c r="BZ933" s="48"/>
    </row>
    <row r="934" spans="1:78" ht="15.75" x14ac:dyDescent="0.25">
      <c r="A934" s="20"/>
      <c r="B934" s="47"/>
      <c r="C934" s="51"/>
      <c r="D934" s="51"/>
      <c r="E934" s="51"/>
      <c r="F934" s="48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8"/>
      <c r="BK934" s="48"/>
      <c r="BL934" s="48"/>
      <c r="BM934" s="48"/>
      <c r="BN934" s="48"/>
      <c r="BO934" s="48"/>
      <c r="BP934" s="48"/>
      <c r="BQ934" s="48"/>
      <c r="BR934" s="48"/>
      <c r="BS934" s="48"/>
      <c r="BT934" s="48"/>
      <c r="BU934" s="48"/>
      <c r="BV934" s="48"/>
      <c r="BW934" s="48"/>
      <c r="BX934" s="48"/>
      <c r="BY934" s="48"/>
      <c r="BZ934" s="48"/>
    </row>
    <row r="935" spans="1:78" ht="15.75" x14ac:dyDescent="0.25">
      <c r="A935" s="20"/>
      <c r="B935" s="47"/>
      <c r="C935" s="51"/>
      <c r="D935" s="51"/>
      <c r="E935" s="51"/>
      <c r="F935" s="48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8"/>
      <c r="BK935" s="48"/>
      <c r="BL935" s="48"/>
      <c r="BM935" s="48"/>
      <c r="BN935" s="48"/>
      <c r="BO935" s="48"/>
      <c r="BP935" s="48"/>
      <c r="BQ935" s="48"/>
      <c r="BR935" s="48"/>
      <c r="BS935" s="48"/>
      <c r="BT935" s="48"/>
      <c r="BU935" s="48"/>
      <c r="BV935" s="48"/>
      <c r="BW935" s="48"/>
      <c r="BX935" s="48"/>
      <c r="BY935" s="48"/>
      <c r="BZ935" s="48"/>
    </row>
    <row r="936" spans="1:78" ht="15.75" x14ac:dyDescent="0.25">
      <c r="A936" s="20"/>
      <c r="B936" s="47"/>
      <c r="C936" s="51"/>
      <c r="D936" s="51"/>
      <c r="E936" s="51"/>
      <c r="F936" s="48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8"/>
      <c r="BK936" s="48"/>
      <c r="BL936" s="48"/>
      <c r="BM936" s="48"/>
      <c r="BN936" s="48"/>
      <c r="BO936" s="48"/>
      <c r="BP936" s="48"/>
      <c r="BQ936" s="48"/>
      <c r="BR936" s="48"/>
      <c r="BS936" s="48"/>
      <c r="BT936" s="48"/>
      <c r="BU936" s="48"/>
      <c r="BV936" s="48"/>
      <c r="BW936" s="48"/>
      <c r="BX936" s="48"/>
      <c r="BY936" s="48"/>
      <c r="BZ936" s="48"/>
    </row>
    <row r="937" spans="1:78" ht="15.75" x14ac:dyDescent="0.25">
      <c r="A937" s="20"/>
      <c r="B937" s="47"/>
      <c r="C937" s="51"/>
      <c r="D937" s="51"/>
      <c r="E937" s="51"/>
      <c r="F937" s="48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8"/>
      <c r="BK937" s="48"/>
      <c r="BL937" s="48"/>
      <c r="BM937" s="48"/>
      <c r="BN937" s="48"/>
      <c r="BO937" s="48"/>
      <c r="BP937" s="48"/>
      <c r="BQ937" s="48"/>
      <c r="BR937" s="48"/>
      <c r="BS937" s="48"/>
      <c r="BT937" s="48"/>
      <c r="BU937" s="48"/>
      <c r="BV937" s="48"/>
      <c r="BW937" s="48"/>
      <c r="BX937" s="48"/>
      <c r="BY937" s="48"/>
      <c r="BZ937" s="48"/>
    </row>
    <row r="938" spans="1:78" ht="15.75" x14ac:dyDescent="0.25">
      <c r="A938" s="20"/>
      <c r="B938" s="47"/>
      <c r="C938" s="51"/>
      <c r="D938" s="51"/>
      <c r="E938" s="51"/>
      <c r="F938" s="48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8"/>
      <c r="BK938" s="48"/>
      <c r="BL938" s="48"/>
      <c r="BM938" s="48"/>
      <c r="BN938" s="48"/>
      <c r="BO938" s="48"/>
      <c r="BP938" s="48"/>
      <c r="BQ938" s="48"/>
      <c r="BR938" s="48"/>
      <c r="BS938" s="48"/>
      <c r="BT938" s="48"/>
      <c r="BU938" s="48"/>
      <c r="BV938" s="48"/>
      <c r="BW938" s="48"/>
      <c r="BX938" s="48"/>
      <c r="BY938" s="48"/>
      <c r="BZ938" s="48"/>
    </row>
    <row r="939" spans="1:78" ht="15.75" x14ac:dyDescent="0.25">
      <c r="A939" s="20"/>
      <c r="B939" s="47"/>
      <c r="C939" s="51"/>
      <c r="D939" s="51"/>
      <c r="E939" s="51"/>
      <c r="F939" s="48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8"/>
      <c r="BK939" s="48"/>
      <c r="BL939" s="48"/>
      <c r="BM939" s="48"/>
      <c r="BN939" s="48"/>
      <c r="BO939" s="48"/>
      <c r="BP939" s="48"/>
      <c r="BQ939" s="48"/>
      <c r="BR939" s="48"/>
      <c r="BS939" s="48"/>
      <c r="BT939" s="48"/>
      <c r="BU939" s="48"/>
      <c r="BV939" s="48"/>
      <c r="BW939" s="48"/>
      <c r="BX939" s="48"/>
      <c r="BY939" s="48"/>
      <c r="BZ939" s="48"/>
    </row>
    <row r="940" spans="1:78" ht="15.75" x14ac:dyDescent="0.25">
      <c r="A940" s="20"/>
      <c r="B940" s="47"/>
      <c r="C940" s="51"/>
      <c r="D940" s="51"/>
      <c r="E940" s="51"/>
      <c r="F940" s="48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8"/>
      <c r="BK940" s="48"/>
      <c r="BL940" s="48"/>
      <c r="BM940" s="48"/>
      <c r="BN940" s="48"/>
      <c r="BO940" s="48"/>
      <c r="BP940" s="48"/>
      <c r="BQ940" s="48"/>
      <c r="BR940" s="48"/>
      <c r="BS940" s="48"/>
      <c r="BT940" s="48"/>
      <c r="BU940" s="48"/>
      <c r="BV940" s="48"/>
      <c r="BW940" s="48"/>
      <c r="BX940" s="48"/>
      <c r="BY940" s="48"/>
      <c r="BZ940" s="48"/>
    </row>
    <row r="941" spans="1:78" ht="15.75" x14ac:dyDescent="0.25">
      <c r="A941" s="20"/>
      <c r="B941" s="47"/>
      <c r="C941" s="51"/>
      <c r="D941" s="51"/>
      <c r="E941" s="51"/>
      <c r="F941" s="48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8"/>
      <c r="BK941" s="48"/>
      <c r="BL941" s="48"/>
      <c r="BM941" s="48"/>
      <c r="BN941" s="48"/>
      <c r="BO941" s="48"/>
      <c r="BP941" s="48"/>
      <c r="BQ941" s="48"/>
      <c r="BR941" s="48"/>
      <c r="BS941" s="48"/>
      <c r="BT941" s="48"/>
      <c r="BU941" s="48"/>
      <c r="BV941" s="48"/>
      <c r="BW941" s="48"/>
      <c r="BX941" s="48"/>
      <c r="BY941" s="48"/>
      <c r="BZ941" s="48"/>
    </row>
    <row r="942" spans="1:78" ht="15.75" x14ac:dyDescent="0.25">
      <c r="A942" s="20"/>
      <c r="B942" s="47"/>
      <c r="C942" s="51"/>
      <c r="D942" s="51"/>
      <c r="E942" s="51"/>
      <c r="F942" s="48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8"/>
      <c r="BK942" s="48"/>
      <c r="BL942" s="48"/>
      <c r="BM942" s="48"/>
      <c r="BN942" s="48"/>
      <c r="BO942" s="48"/>
      <c r="BP942" s="48"/>
      <c r="BQ942" s="48"/>
      <c r="BR942" s="48"/>
      <c r="BS942" s="48"/>
      <c r="BT942" s="48"/>
      <c r="BU942" s="48"/>
      <c r="BV942" s="48"/>
      <c r="BW942" s="48"/>
      <c r="BX942" s="48"/>
      <c r="BY942" s="48"/>
      <c r="BZ942" s="48"/>
    </row>
    <row r="943" spans="1:78" ht="15.75" x14ac:dyDescent="0.25">
      <c r="A943" s="20"/>
      <c r="B943" s="47"/>
      <c r="C943" s="51"/>
      <c r="D943" s="51"/>
      <c r="E943" s="51"/>
      <c r="F943" s="48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8"/>
      <c r="BK943" s="48"/>
      <c r="BL943" s="48"/>
      <c r="BM943" s="48"/>
      <c r="BN943" s="48"/>
      <c r="BO943" s="48"/>
      <c r="BP943" s="48"/>
      <c r="BQ943" s="48"/>
      <c r="BR943" s="48"/>
      <c r="BS943" s="48"/>
      <c r="BT943" s="48"/>
      <c r="BU943" s="48"/>
      <c r="BV943" s="48"/>
      <c r="BW943" s="48"/>
      <c r="BX943" s="48"/>
      <c r="BY943" s="48"/>
      <c r="BZ943" s="48"/>
    </row>
    <row r="944" spans="1:78" ht="15.75" x14ac:dyDescent="0.25">
      <c r="A944" s="20"/>
      <c r="B944" s="47"/>
      <c r="C944" s="51"/>
      <c r="D944" s="51"/>
      <c r="E944" s="51"/>
      <c r="F944" s="48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8"/>
      <c r="BK944" s="48"/>
      <c r="BL944" s="48"/>
      <c r="BM944" s="48"/>
      <c r="BN944" s="48"/>
      <c r="BO944" s="48"/>
      <c r="BP944" s="48"/>
      <c r="BQ944" s="48"/>
      <c r="BR944" s="48"/>
      <c r="BS944" s="48"/>
      <c r="BT944" s="48"/>
      <c r="BU944" s="48"/>
      <c r="BV944" s="48"/>
      <c r="BW944" s="48"/>
      <c r="BX944" s="48"/>
      <c r="BY944" s="48"/>
      <c r="BZ944" s="48"/>
    </row>
    <row r="945" spans="1:78" ht="15.75" x14ac:dyDescent="0.25">
      <c r="A945" s="20"/>
      <c r="B945" s="47"/>
      <c r="C945" s="51"/>
      <c r="D945" s="51"/>
      <c r="E945" s="51"/>
      <c r="F945" s="48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8"/>
      <c r="BK945" s="48"/>
      <c r="BL945" s="48"/>
      <c r="BM945" s="48"/>
      <c r="BN945" s="48"/>
      <c r="BO945" s="48"/>
      <c r="BP945" s="48"/>
      <c r="BQ945" s="48"/>
      <c r="BR945" s="48"/>
      <c r="BS945" s="48"/>
      <c r="BT945" s="48"/>
      <c r="BU945" s="48"/>
      <c r="BV945" s="48"/>
      <c r="BW945" s="48"/>
      <c r="BX945" s="48"/>
      <c r="BY945" s="48"/>
      <c r="BZ945" s="48"/>
    </row>
    <row r="946" spans="1:78" ht="15.75" x14ac:dyDescent="0.25">
      <c r="A946" s="20"/>
      <c r="B946" s="47"/>
      <c r="C946" s="51"/>
      <c r="D946" s="51"/>
      <c r="E946" s="51"/>
      <c r="F946" s="48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8"/>
      <c r="BK946" s="48"/>
      <c r="BL946" s="48"/>
      <c r="BM946" s="48"/>
      <c r="BN946" s="48"/>
      <c r="BO946" s="48"/>
      <c r="BP946" s="48"/>
      <c r="BQ946" s="48"/>
      <c r="BR946" s="48"/>
      <c r="BS946" s="48"/>
      <c r="BT946" s="48"/>
      <c r="BU946" s="48"/>
      <c r="BV946" s="48"/>
      <c r="BW946" s="48"/>
      <c r="BX946" s="48"/>
      <c r="BY946" s="48"/>
      <c r="BZ946" s="48"/>
    </row>
    <row r="947" spans="1:78" ht="15.75" x14ac:dyDescent="0.25">
      <c r="A947" s="20"/>
      <c r="B947" s="47"/>
      <c r="C947" s="51"/>
      <c r="D947" s="51"/>
      <c r="E947" s="51"/>
      <c r="F947" s="48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8"/>
      <c r="BK947" s="48"/>
      <c r="BL947" s="48"/>
      <c r="BM947" s="48"/>
      <c r="BN947" s="48"/>
      <c r="BO947" s="48"/>
      <c r="BP947" s="48"/>
      <c r="BQ947" s="48"/>
      <c r="BR947" s="48"/>
      <c r="BS947" s="48"/>
      <c r="BT947" s="48"/>
      <c r="BU947" s="48"/>
      <c r="BV947" s="48"/>
      <c r="BW947" s="48"/>
      <c r="BX947" s="48"/>
      <c r="BY947" s="48"/>
      <c r="BZ947" s="48"/>
    </row>
    <row r="948" spans="1:78" ht="15.75" x14ac:dyDescent="0.25">
      <c r="A948" s="20"/>
      <c r="B948" s="47"/>
      <c r="C948" s="51"/>
      <c r="D948" s="51"/>
      <c r="E948" s="51"/>
      <c r="F948" s="48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8"/>
      <c r="BK948" s="48"/>
      <c r="BL948" s="48"/>
      <c r="BM948" s="48"/>
      <c r="BN948" s="48"/>
      <c r="BO948" s="48"/>
      <c r="BP948" s="48"/>
      <c r="BQ948" s="48"/>
      <c r="BR948" s="48"/>
      <c r="BS948" s="48"/>
      <c r="BT948" s="48"/>
      <c r="BU948" s="48"/>
      <c r="BV948" s="48"/>
      <c r="BW948" s="48"/>
      <c r="BX948" s="48"/>
      <c r="BY948" s="48"/>
      <c r="BZ948" s="48"/>
    </row>
    <row r="949" spans="1:78" ht="15.75" x14ac:dyDescent="0.25">
      <c r="A949" s="20"/>
      <c r="B949" s="47"/>
      <c r="C949" s="51"/>
      <c r="D949" s="51"/>
      <c r="E949" s="51"/>
      <c r="F949" s="48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8"/>
      <c r="BK949" s="48"/>
      <c r="BL949" s="48"/>
      <c r="BM949" s="48"/>
      <c r="BN949" s="48"/>
      <c r="BO949" s="48"/>
      <c r="BP949" s="48"/>
      <c r="BQ949" s="48"/>
      <c r="BR949" s="48"/>
      <c r="BS949" s="48"/>
      <c r="BT949" s="48"/>
      <c r="BU949" s="48"/>
      <c r="BV949" s="48"/>
      <c r="BW949" s="48"/>
      <c r="BX949" s="48"/>
      <c r="BY949" s="48"/>
      <c r="BZ949" s="48"/>
    </row>
    <row r="950" spans="1:78" ht="15.75" x14ac:dyDescent="0.25">
      <c r="A950" s="20"/>
      <c r="B950" s="47"/>
      <c r="C950" s="51"/>
      <c r="D950" s="51"/>
      <c r="E950" s="51"/>
      <c r="F950" s="48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8"/>
      <c r="BK950" s="48"/>
      <c r="BL950" s="48"/>
      <c r="BM950" s="48"/>
      <c r="BN950" s="48"/>
      <c r="BO950" s="48"/>
      <c r="BP950" s="48"/>
      <c r="BQ950" s="48"/>
      <c r="BR950" s="48"/>
      <c r="BS950" s="48"/>
      <c r="BT950" s="48"/>
      <c r="BU950" s="48"/>
      <c r="BV950" s="48"/>
      <c r="BW950" s="48"/>
      <c r="BX950" s="48"/>
      <c r="BY950" s="48"/>
      <c r="BZ950" s="48"/>
    </row>
    <row r="951" spans="1:78" ht="15.75" x14ac:dyDescent="0.25">
      <c r="A951" s="20"/>
      <c r="B951" s="47"/>
      <c r="C951" s="51"/>
      <c r="D951" s="51"/>
      <c r="E951" s="51"/>
      <c r="F951" s="48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8"/>
      <c r="BK951" s="48"/>
      <c r="BL951" s="48"/>
      <c r="BM951" s="48"/>
      <c r="BN951" s="48"/>
      <c r="BO951" s="48"/>
      <c r="BP951" s="48"/>
      <c r="BQ951" s="48"/>
      <c r="BR951" s="48"/>
      <c r="BS951" s="48"/>
      <c r="BT951" s="48"/>
      <c r="BU951" s="48"/>
      <c r="BV951" s="48"/>
      <c r="BW951" s="48"/>
      <c r="BX951" s="48"/>
      <c r="BY951" s="48"/>
      <c r="BZ951" s="48"/>
    </row>
    <row r="952" spans="1:78" ht="15.75" x14ac:dyDescent="0.25">
      <c r="A952" s="20"/>
      <c r="B952" s="47"/>
      <c r="C952" s="51"/>
      <c r="D952" s="51"/>
      <c r="E952" s="51"/>
      <c r="F952" s="48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8"/>
      <c r="BK952" s="48"/>
      <c r="BL952" s="48"/>
      <c r="BM952" s="48"/>
      <c r="BN952" s="48"/>
      <c r="BO952" s="48"/>
      <c r="BP952" s="48"/>
      <c r="BQ952" s="48"/>
      <c r="BR952" s="48"/>
      <c r="BS952" s="48"/>
      <c r="BT952" s="48"/>
      <c r="BU952" s="48"/>
      <c r="BV952" s="48"/>
      <c r="BW952" s="48"/>
      <c r="BX952" s="48"/>
      <c r="BY952" s="48"/>
      <c r="BZ952" s="48"/>
    </row>
    <row r="953" spans="1:78" ht="15.75" x14ac:dyDescent="0.25">
      <c r="A953" s="20"/>
      <c r="B953" s="47"/>
      <c r="C953" s="51"/>
      <c r="D953" s="51"/>
      <c r="E953" s="51"/>
      <c r="F953" s="48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8"/>
      <c r="BK953" s="48"/>
      <c r="BL953" s="48"/>
      <c r="BM953" s="48"/>
      <c r="BN953" s="48"/>
      <c r="BO953" s="48"/>
      <c r="BP953" s="48"/>
      <c r="BQ953" s="48"/>
      <c r="BR953" s="48"/>
      <c r="BS953" s="48"/>
      <c r="BT953" s="48"/>
      <c r="BU953" s="48"/>
      <c r="BV953" s="48"/>
      <c r="BW953" s="48"/>
      <c r="BX953" s="48"/>
      <c r="BY953" s="48"/>
      <c r="BZ953" s="48"/>
    </row>
    <row r="954" spans="1:78" ht="15.75" x14ac:dyDescent="0.25">
      <c r="A954" s="20"/>
      <c r="B954" s="47"/>
      <c r="C954" s="51"/>
      <c r="D954" s="51"/>
      <c r="E954" s="51"/>
      <c r="F954" s="48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8"/>
      <c r="BK954" s="48"/>
      <c r="BL954" s="48"/>
      <c r="BM954" s="48"/>
      <c r="BN954" s="48"/>
      <c r="BO954" s="48"/>
      <c r="BP954" s="48"/>
      <c r="BQ954" s="48"/>
      <c r="BR954" s="48"/>
      <c r="BS954" s="48"/>
      <c r="BT954" s="48"/>
      <c r="BU954" s="48"/>
      <c r="BV954" s="48"/>
      <c r="BW954" s="48"/>
      <c r="BX954" s="48"/>
      <c r="BY954" s="48"/>
      <c r="BZ954" s="48"/>
    </row>
    <row r="955" spans="1:78" ht="15.75" x14ac:dyDescent="0.25">
      <c r="A955" s="20"/>
      <c r="B955" s="47"/>
      <c r="C955" s="51"/>
      <c r="D955" s="51"/>
      <c r="E955" s="51"/>
      <c r="F955" s="48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8"/>
      <c r="BK955" s="48"/>
      <c r="BL955" s="48"/>
      <c r="BM955" s="48"/>
      <c r="BN955" s="48"/>
      <c r="BO955" s="48"/>
      <c r="BP955" s="48"/>
      <c r="BQ955" s="48"/>
      <c r="BR955" s="48"/>
      <c r="BS955" s="48"/>
      <c r="BT955" s="48"/>
      <c r="BU955" s="48"/>
      <c r="BV955" s="48"/>
      <c r="BW955" s="48"/>
      <c r="BX955" s="48"/>
      <c r="BY955" s="48"/>
      <c r="BZ955" s="48"/>
    </row>
    <row r="956" spans="1:78" ht="15.75" x14ac:dyDescent="0.25">
      <c r="A956" s="20"/>
      <c r="B956" s="47"/>
      <c r="C956" s="51"/>
      <c r="D956" s="51"/>
      <c r="E956" s="51"/>
      <c r="F956" s="48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8"/>
      <c r="BK956" s="48"/>
      <c r="BL956" s="48"/>
      <c r="BM956" s="48"/>
      <c r="BN956" s="48"/>
      <c r="BO956" s="48"/>
      <c r="BP956" s="48"/>
      <c r="BQ956" s="48"/>
      <c r="BR956" s="48"/>
      <c r="BS956" s="48"/>
      <c r="BT956" s="48"/>
      <c r="BU956" s="48"/>
      <c r="BV956" s="48"/>
      <c r="BW956" s="48"/>
      <c r="BX956" s="48"/>
      <c r="BY956" s="48"/>
      <c r="BZ956" s="48"/>
    </row>
    <row r="957" spans="1:78" ht="15.75" x14ac:dyDescent="0.25">
      <c r="A957" s="20"/>
      <c r="B957" s="47"/>
      <c r="C957" s="51"/>
      <c r="D957" s="51"/>
      <c r="E957" s="51"/>
      <c r="F957" s="48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8"/>
      <c r="BK957" s="48"/>
      <c r="BL957" s="48"/>
      <c r="BM957" s="48"/>
      <c r="BN957" s="48"/>
      <c r="BO957" s="48"/>
      <c r="BP957" s="48"/>
      <c r="BQ957" s="48"/>
      <c r="BR957" s="48"/>
      <c r="BS957" s="48"/>
      <c r="BT957" s="48"/>
      <c r="BU957" s="48"/>
      <c r="BV957" s="48"/>
      <c r="BW957" s="48"/>
      <c r="BX957" s="48"/>
      <c r="BY957" s="48"/>
      <c r="BZ957" s="48"/>
    </row>
    <row r="958" spans="1:78" ht="15.75" x14ac:dyDescent="0.25">
      <c r="A958" s="20"/>
      <c r="B958" s="47"/>
      <c r="C958" s="51"/>
      <c r="D958" s="51"/>
      <c r="E958" s="51"/>
      <c r="F958" s="48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8"/>
      <c r="BK958" s="48"/>
      <c r="BL958" s="48"/>
      <c r="BM958" s="48"/>
      <c r="BN958" s="48"/>
      <c r="BO958" s="48"/>
      <c r="BP958" s="48"/>
      <c r="BQ958" s="48"/>
      <c r="BR958" s="48"/>
      <c r="BS958" s="48"/>
      <c r="BT958" s="48"/>
      <c r="BU958" s="48"/>
      <c r="BV958" s="48"/>
      <c r="BW958" s="48"/>
      <c r="BX958" s="48"/>
      <c r="BY958" s="48"/>
      <c r="BZ958" s="48"/>
    </row>
    <row r="959" spans="1:78" ht="15.75" x14ac:dyDescent="0.25">
      <c r="A959" s="20"/>
      <c r="B959" s="47"/>
      <c r="C959" s="51"/>
      <c r="D959" s="51"/>
      <c r="E959" s="51"/>
      <c r="F959" s="48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8"/>
      <c r="BK959" s="48"/>
      <c r="BL959" s="48"/>
      <c r="BM959" s="48"/>
      <c r="BN959" s="48"/>
      <c r="BO959" s="48"/>
      <c r="BP959" s="48"/>
      <c r="BQ959" s="48"/>
      <c r="BR959" s="48"/>
      <c r="BS959" s="48"/>
      <c r="BT959" s="48"/>
      <c r="BU959" s="48"/>
      <c r="BV959" s="48"/>
      <c r="BW959" s="48"/>
      <c r="BX959" s="48"/>
      <c r="BY959" s="48"/>
      <c r="BZ959" s="48"/>
    </row>
    <row r="960" spans="1:78" ht="15.75" x14ac:dyDescent="0.25">
      <c r="A960" s="20"/>
      <c r="B960" s="47"/>
      <c r="C960" s="51"/>
      <c r="D960" s="51"/>
      <c r="E960" s="51"/>
      <c r="F960" s="48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8"/>
      <c r="BK960" s="48"/>
      <c r="BL960" s="48"/>
      <c r="BM960" s="48"/>
      <c r="BN960" s="48"/>
      <c r="BO960" s="48"/>
      <c r="BP960" s="48"/>
      <c r="BQ960" s="48"/>
      <c r="BR960" s="48"/>
      <c r="BS960" s="48"/>
      <c r="BT960" s="48"/>
      <c r="BU960" s="48"/>
      <c r="BV960" s="48"/>
      <c r="BW960" s="48"/>
      <c r="BX960" s="48"/>
      <c r="BY960" s="48"/>
      <c r="BZ960" s="48"/>
    </row>
    <row r="961" spans="1:78" ht="15.75" x14ac:dyDescent="0.25">
      <c r="A961" s="20"/>
      <c r="B961" s="47"/>
      <c r="C961" s="51"/>
      <c r="D961" s="51"/>
      <c r="E961" s="51"/>
      <c r="F961" s="48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8"/>
      <c r="BK961" s="48"/>
      <c r="BL961" s="48"/>
      <c r="BM961" s="48"/>
      <c r="BN961" s="48"/>
      <c r="BO961" s="48"/>
      <c r="BP961" s="48"/>
      <c r="BQ961" s="48"/>
      <c r="BR961" s="48"/>
      <c r="BS961" s="48"/>
      <c r="BT961" s="48"/>
      <c r="BU961" s="48"/>
      <c r="BV961" s="48"/>
      <c r="BW961" s="48"/>
      <c r="BX961" s="48"/>
      <c r="BY961" s="48"/>
      <c r="BZ961" s="48"/>
    </row>
    <row r="962" spans="1:78" ht="15.75" x14ac:dyDescent="0.25">
      <c r="A962" s="20"/>
      <c r="B962" s="47"/>
      <c r="C962" s="51"/>
      <c r="D962" s="51"/>
      <c r="E962" s="51"/>
      <c r="F962" s="48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8"/>
      <c r="BK962" s="48"/>
      <c r="BL962" s="48"/>
      <c r="BM962" s="48"/>
      <c r="BN962" s="48"/>
      <c r="BO962" s="48"/>
      <c r="BP962" s="48"/>
      <c r="BQ962" s="48"/>
      <c r="BR962" s="48"/>
      <c r="BS962" s="48"/>
      <c r="BT962" s="48"/>
      <c r="BU962" s="48"/>
      <c r="BV962" s="48"/>
      <c r="BW962" s="48"/>
      <c r="BX962" s="48"/>
      <c r="BY962" s="48"/>
      <c r="BZ962" s="48"/>
    </row>
    <row r="963" spans="1:78" ht="15.75" x14ac:dyDescent="0.25">
      <c r="A963" s="20"/>
      <c r="B963" s="47"/>
      <c r="C963" s="51"/>
      <c r="D963" s="51"/>
      <c r="E963" s="51"/>
      <c r="F963" s="48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8"/>
      <c r="BK963" s="48"/>
      <c r="BL963" s="48"/>
      <c r="BM963" s="48"/>
      <c r="BN963" s="48"/>
      <c r="BO963" s="48"/>
      <c r="BP963" s="48"/>
      <c r="BQ963" s="48"/>
      <c r="BR963" s="48"/>
      <c r="BS963" s="48"/>
      <c r="BT963" s="48"/>
      <c r="BU963" s="48"/>
      <c r="BV963" s="48"/>
      <c r="BW963" s="48"/>
      <c r="BX963" s="48"/>
      <c r="BY963" s="48"/>
      <c r="BZ963" s="48"/>
    </row>
    <row r="964" spans="1:78" ht="15.75" x14ac:dyDescent="0.25">
      <c r="A964" s="20"/>
      <c r="B964" s="47"/>
      <c r="C964" s="51"/>
      <c r="D964" s="51"/>
      <c r="E964" s="51"/>
      <c r="F964" s="48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8"/>
      <c r="BK964" s="48"/>
      <c r="BL964" s="48"/>
      <c r="BM964" s="48"/>
      <c r="BN964" s="48"/>
      <c r="BO964" s="48"/>
      <c r="BP964" s="48"/>
      <c r="BQ964" s="48"/>
      <c r="BR964" s="48"/>
      <c r="BS964" s="48"/>
      <c r="BT964" s="48"/>
      <c r="BU964" s="48"/>
      <c r="BV964" s="48"/>
      <c r="BW964" s="48"/>
      <c r="BX964" s="48"/>
      <c r="BY964" s="48"/>
      <c r="BZ964" s="48"/>
    </row>
    <row r="965" spans="1:78" ht="15.75" x14ac:dyDescent="0.25">
      <c r="A965" s="20"/>
      <c r="B965" s="47"/>
      <c r="C965" s="51"/>
      <c r="D965" s="51"/>
      <c r="E965" s="51"/>
      <c r="F965" s="48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8"/>
      <c r="BK965" s="48"/>
      <c r="BL965" s="48"/>
      <c r="BM965" s="48"/>
      <c r="BN965" s="48"/>
      <c r="BO965" s="48"/>
      <c r="BP965" s="48"/>
      <c r="BQ965" s="48"/>
      <c r="BR965" s="48"/>
      <c r="BS965" s="48"/>
      <c r="BT965" s="48"/>
      <c r="BU965" s="48"/>
      <c r="BV965" s="48"/>
      <c r="BW965" s="48"/>
      <c r="BX965" s="48"/>
      <c r="BY965" s="48"/>
      <c r="BZ965" s="48"/>
    </row>
    <row r="966" spans="1:78" ht="15.75" x14ac:dyDescent="0.25">
      <c r="A966" s="20"/>
      <c r="B966" s="47"/>
      <c r="C966" s="51"/>
      <c r="D966" s="51"/>
      <c r="E966" s="51"/>
      <c r="F966" s="48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8"/>
      <c r="BK966" s="48"/>
      <c r="BL966" s="48"/>
      <c r="BM966" s="48"/>
      <c r="BN966" s="48"/>
      <c r="BO966" s="48"/>
      <c r="BP966" s="48"/>
      <c r="BQ966" s="48"/>
      <c r="BR966" s="48"/>
      <c r="BS966" s="48"/>
      <c r="BT966" s="48"/>
      <c r="BU966" s="48"/>
      <c r="BV966" s="48"/>
      <c r="BW966" s="48"/>
      <c r="BX966" s="48"/>
      <c r="BY966" s="48"/>
      <c r="BZ966" s="48"/>
    </row>
    <row r="967" spans="1:78" ht="15.75" x14ac:dyDescent="0.25">
      <c r="A967" s="20"/>
      <c r="B967" s="47"/>
      <c r="C967" s="51"/>
      <c r="D967" s="51"/>
      <c r="E967" s="51"/>
      <c r="F967" s="48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8"/>
      <c r="BK967" s="48"/>
      <c r="BL967" s="48"/>
      <c r="BM967" s="48"/>
      <c r="BN967" s="48"/>
      <c r="BO967" s="48"/>
      <c r="BP967" s="48"/>
      <c r="BQ967" s="48"/>
      <c r="BR967" s="48"/>
      <c r="BS967" s="48"/>
      <c r="BT967" s="48"/>
      <c r="BU967" s="48"/>
      <c r="BV967" s="48"/>
      <c r="BW967" s="48"/>
      <c r="BX967" s="48"/>
      <c r="BY967" s="48"/>
      <c r="BZ967" s="48"/>
    </row>
    <row r="968" spans="1:78" ht="15.75" x14ac:dyDescent="0.25">
      <c r="A968" s="20"/>
      <c r="B968" s="47"/>
      <c r="C968" s="51"/>
      <c r="D968" s="51"/>
      <c r="E968" s="51"/>
      <c r="F968" s="48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8"/>
      <c r="BK968" s="48"/>
      <c r="BL968" s="48"/>
      <c r="BM968" s="48"/>
      <c r="BN968" s="48"/>
      <c r="BO968" s="48"/>
      <c r="BP968" s="48"/>
      <c r="BQ968" s="48"/>
      <c r="BR968" s="48"/>
      <c r="BS968" s="48"/>
      <c r="BT968" s="48"/>
      <c r="BU968" s="48"/>
      <c r="BV968" s="48"/>
      <c r="BW968" s="48"/>
      <c r="BX968" s="48"/>
      <c r="BY968" s="48"/>
      <c r="BZ968" s="48"/>
    </row>
    <row r="969" spans="1:78" ht="15.75" x14ac:dyDescent="0.25">
      <c r="A969" s="20"/>
      <c r="B969" s="47"/>
      <c r="C969" s="51"/>
      <c r="D969" s="51"/>
      <c r="E969" s="51"/>
      <c r="F969" s="48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8"/>
      <c r="BK969" s="48"/>
      <c r="BL969" s="48"/>
      <c r="BM969" s="48"/>
      <c r="BN969" s="48"/>
      <c r="BO969" s="48"/>
      <c r="BP969" s="48"/>
      <c r="BQ969" s="48"/>
      <c r="BR969" s="48"/>
      <c r="BS969" s="48"/>
      <c r="BT969" s="48"/>
      <c r="BU969" s="48"/>
      <c r="BV969" s="48"/>
      <c r="BW969" s="48"/>
      <c r="BX969" s="48"/>
      <c r="BY969" s="48"/>
      <c r="BZ969" s="48"/>
    </row>
    <row r="970" spans="1:78" ht="15.75" x14ac:dyDescent="0.25">
      <c r="A970" s="20"/>
      <c r="B970" s="47"/>
      <c r="C970" s="51"/>
      <c r="D970" s="51"/>
      <c r="E970" s="51"/>
      <c r="F970" s="48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8"/>
      <c r="BK970" s="48"/>
      <c r="BL970" s="48"/>
      <c r="BM970" s="48"/>
      <c r="BN970" s="48"/>
      <c r="BO970" s="48"/>
      <c r="BP970" s="48"/>
      <c r="BQ970" s="48"/>
      <c r="BR970" s="48"/>
      <c r="BS970" s="48"/>
      <c r="BT970" s="48"/>
      <c r="BU970" s="48"/>
      <c r="BV970" s="48"/>
      <c r="BW970" s="48"/>
      <c r="BX970" s="48"/>
      <c r="BY970" s="48"/>
      <c r="BZ970" s="48"/>
    </row>
    <row r="971" spans="1:78" ht="15.75" x14ac:dyDescent="0.25">
      <c r="A971" s="20"/>
      <c r="B971" s="47"/>
      <c r="C971" s="51"/>
      <c r="D971" s="51"/>
      <c r="E971" s="51"/>
      <c r="F971" s="48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8"/>
      <c r="BK971" s="48"/>
      <c r="BL971" s="48"/>
      <c r="BM971" s="48"/>
      <c r="BN971" s="48"/>
      <c r="BO971" s="48"/>
      <c r="BP971" s="48"/>
      <c r="BQ971" s="48"/>
      <c r="BR971" s="48"/>
      <c r="BS971" s="48"/>
      <c r="BT971" s="48"/>
      <c r="BU971" s="48"/>
      <c r="BV971" s="48"/>
      <c r="BW971" s="48"/>
      <c r="BX971" s="48"/>
      <c r="BY971" s="48"/>
      <c r="BZ971" s="48"/>
    </row>
    <row r="972" spans="1:78" ht="15.75" x14ac:dyDescent="0.25">
      <c r="A972" s="20"/>
      <c r="B972" s="47"/>
      <c r="C972" s="51"/>
      <c r="D972" s="51"/>
      <c r="E972" s="51"/>
      <c r="F972" s="48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8"/>
      <c r="BK972" s="48"/>
      <c r="BL972" s="48"/>
      <c r="BM972" s="48"/>
      <c r="BN972" s="48"/>
      <c r="BO972" s="48"/>
      <c r="BP972" s="48"/>
      <c r="BQ972" s="48"/>
      <c r="BR972" s="48"/>
      <c r="BS972" s="48"/>
      <c r="BT972" s="48"/>
      <c r="BU972" s="48"/>
      <c r="BV972" s="48"/>
      <c r="BW972" s="48"/>
      <c r="BX972" s="48"/>
      <c r="BY972" s="48"/>
      <c r="BZ972" s="48"/>
    </row>
    <row r="973" spans="1:78" ht="15.75" x14ac:dyDescent="0.25">
      <c r="A973" s="20"/>
      <c r="B973" s="47"/>
      <c r="C973" s="51"/>
      <c r="D973" s="51"/>
      <c r="E973" s="51"/>
      <c r="F973" s="48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8"/>
      <c r="BK973" s="48"/>
      <c r="BL973" s="48"/>
      <c r="BM973" s="48"/>
      <c r="BN973" s="48"/>
      <c r="BO973" s="48"/>
      <c r="BP973" s="48"/>
      <c r="BQ973" s="48"/>
      <c r="BR973" s="48"/>
      <c r="BS973" s="48"/>
      <c r="BT973" s="48"/>
      <c r="BU973" s="48"/>
      <c r="BV973" s="48"/>
      <c r="BW973" s="48"/>
      <c r="BX973" s="48"/>
      <c r="BY973" s="48"/>
      <c r="BZ973" s="48"/>
    </row>
    <row r="974" spans="1:78" ht="15.75" x14ac:dyDescent="0.25">
      <c r="A974" s="20"/>
      <c r="B974" s="47"/>
      <c r="C974" s="51"/>
      <c r="D974" s="51"/>
      <c r="E974" s="51"/>
      <c r="F974" s="48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8"/>
      <c r="BK974" s="48"/>
      <c r="BL974" s="48"/>
      <c r="BM974" s="48"/>
      <c r="BN974" s="48"/>
      <c r="BO974" s="48"/>
      <c r="BP974" s="48"/>
      <c r="BQ974" s="48"/>
      <c r="BR974" s="48"/>
      <c r="BS974" s="48"/>
      <c r="BT974" s="48"/>
      <c r="BU974" s="48"/>
      <c r="BV974" s="48"/>
      <c r="BW974" s="48"/>
      <c r="BX974" s="48"/>
      <c r="BY974" s="48"/>
      <c r="BZ974" s="48"/>
    </row>
    <row r="975" spans="1:78" ht="15.75" x14ac:dyDescent="0.25">
      <c r="A975" s="20"/>
      <c r="B975" s="47"/>
      <c r="C975" s="51"/>
      <c r="D975" s="51"/>
      <c r="E975" s="51"/>
      <c r="F975" s="48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8"/>
      <c r="BK975" s="48"/>
      <c r="BL975" s="48"/>
      <c r="BM975" s="48"/>
      <c r="BN975" s="48"/>
      <c r="BO975" s="48"/>
      <c r="BP975" s="48"/>
      <c r="BQ975" s="48"/>
      <c r="BR975" s="48"/>
      <c r="BS975" s="48"/>
      <c r="BT975" s="48"/>
      <c r="BU975" s="48"/>
      <c r="BV975" s="48"/>
      <c r="BW975" s="48"/>
      <c r="BX975" s="48"/>
      <c r="BY975" s="48"/>
      <c r="BZ975" s="48"/>
    </row>
    <row r="976" spans="1:78" ht="15.75" x14ac:dyDescent="0.25">
      <c r="A976" s="20"/>
      <c r="B976" s="47"/>
      <c r="C976" s="51"/>
      <c r="D976" s="51"/>
      <c r="E976" s="51"/>
      <c r="F976" s="48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8"/>
      <c r="BK976" s="48"/>
      <c r="BL976" s="48"/>
      <c r="BM976" s="48"/>
      <c r="BN976" s="48"/>
      <c r="BO976" s="48"/>
      <c r="BP976" s="48"/>
      <c r="BQ976" s="48"/>
      <c r="BR976" s="48"/>
      <c r="BS976" s="48"/>
      <c r="BT976" s="48"/>
      <c r="BU976" s="48"/>
      <c r="BV976" s="48"/>
      <c r="BW976" s="48"/>
      <c r="BX976" s="48"/>
      <c r="BY976" s="48"/>
      <c r="BZ976" s="48"/>
    </row>
    <row r="977" spans="1:78" ht="15.75" x14ac:dyDescent="0.25">
      <c r="A977" s="20"/>
      <c r="B977" s="47"/>
      <c r="C977" s="51"/>
      <c r="D977" s="51"/>
      <c r="E977" s="51"/>
      <c r="F977" s="48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8"/>
      <c r="BK977" s="48"/>
      <c r="BL977" s="48"/>
      <c r="BM977" s="48"/>
      <c r="BN977" s="48"/>
      <c r="BO977" s="48"/>
      <c r="BP977" s="48"/>
      <c r="BQ977" s="48"/>
      <c r="BR977" s="48"/>
      <c r="BS977" s="48"/>
      <c r="BT977" s="48"/>
      <c r="BU977" s="48"/>
      <c r="BV977" s="48"/>
      <c r="BW977" s="48"/>
      <c r="BX977" s="48"/>
      <c r="BY977" s="48"/>
      <c r="BZ977" s="48"/>
    </row>
    <row r="978" spans="1:78" ht="15.75" x14ac:dyDescent="0.25">
      <c r="A978" s="20"/>
      <c r="B978" s="47"/>
      <c r="C978" s="51"/>
      <c r="D978" s="51"/>
      <c r="E978" s="51"/>
      <c r="F978" s="48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8"/>
      <c r="BK978" s="48"/>
      <c r="BL978" s="48"/>
      <c r="BM978" s="48"/>
      <c r="BN978" s="48"/>
      <c r="BO978" s="48"/>
      <c r="BP978" s="48"/>
      <c r="BQ978" s="48"/>
      <c r="BR978" s="48"/>
      <c r="BS978" s="48"/>
      <c r="BT978" s="48"/>
      <c r="BU978" s="48"/>
      <c r="BV978" s="48"/>
      <c r="BW978" s="48"/>
      <c r="BX978" s="48"/>
      <c r="BY978" s="48"/>
      <c r="BZ978" s="48"/>
    </row>
    <row r="979" spans="1:78" ht="15.75" x14ac:dyDescent="0.25">
      <c r="A979" s="20"/>
      <c r="B979" s="47"/>
      <c r="C979" s="51"/>
      <c r="D979" s="51"/>
      <c r="E979" s="51"/>
      <c r="F979" s="48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8"/>
      <c r="BK979" s="48"/>
      <c r="BL979" s="48"/>
      <c r="BM979" s="48"/>
      <c r="BN979" s="48"/>
      <c r="BO979" s="48"/>
      <c r="BP979" s="48"/>
      <c r="BQ979" s="48"/>
      <c r="BR979" s="48"/>
      <c r="BS979" s="48"/>
      <c r="BT979" s="48"/>
      <c r="BU979" s="48"/>
      <c r="BV979" s="48"/>
      <c r="BW979" s="48"/>
      <c r="BX979" s="48"/>
      <c r="BY979" s="48"/>
      <c r="BZ979" s="48"/>
    </row>
    <row r="980" spans="1:78" ht="15.75" x14ac:dyDescent="0.25">
      <c r="A980" s="20"/>
      <c r="B980" s="47"/>
      <c r="C980" s="51"/>
      <c r="D980" s="51"/>
      <c r="E980" s="51"/>
      <c r="F980" s="48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48"/>
      <c r="BF980" s="48"/>
      <c r="BG980" s="48"/>
      <c r="BH980" s="48"/>
      <c r="BI980" s="48"/>
      <c r="BJ980" s="48"/>
      <c r="BK980" s="48"/>
      <c r="BL980" s="48"/>
      <c r="BM980" s="48"/>
      <c r="BN980" s="48"/>
      <c r="BO980" s="48"/>
      <c r="BP980" s="48"/>
      <c r="BQ980" s="48"/>
      <c r="BR980" s="48"/>
      <c r="BS980" s="48"/>
      <c r="BT980" s="48"/>
      <c r="BU980" s="48"/>
      <c r="BV980" s="48"/>
      <c r="BW980" s="48"/>
      <c r="BX980" s="48"/>
      <c r="BY980" s="48"/>
      <c r="BZ980" s="48"/>
    </row>
    <row r="981" spans="1:78" ht="15.75" x14ac:dyDescent="0.25">
      <c r="A981" s="20"/>
      <c r="B981" s="47"/>
      <c r="C981" s="51"/>
      <c r="D981" s="51"/>
      <c r="E981" s="51"/>
      <c r="F981" s="48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48"/>
      <c r="BF981" s="48"/>
      <c r="BG981" s="48"/>
      <c r="BH981" s="48"/>
      <c r="BI981" s="48"/>
      <c r="BJ981" s="48"/>
      <c r="BK981" s="48"/>
      <c r="BL981" s="48"/>
      <c r="BM981" s="48"/>
      <c r="BN981" s="48"/>
      <c r="BO981" s="48"/>
      <c r="BP981" s="48"/>
      <c r="BQ981" s="48"/>
      <c r="BR981" s="48"/>
      <c r="BS981" s="48"/>
      <c r="BT981" s="48"/>
      <c r="BU981" s="48"/>
      <c r="BV981" s="48"/>
      <c r="BW981" s="48"/>
      <c r="BX981" s="48"/>
      <c r="BY981" s="48"/>
      <c r="BZ981" s="48"/>
    </row>
    <row r="982" spans="1:78" ht="15.75" x14ac:dyDescent="0.25">
      <c r="A982" s="20"/>
      <c r="B982" s="47"/>
      <c r="C982" s="51"/>
      <c r="D982" s="51"/>
      <c r="E982" s="51"/>
      <c r="F982" s="48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8"/>
      <c r="BK982" s="48"/>
      <c r="BL982" s="48"/>
      <c r="BM982" s="48"/>
      <c r="BN982" s="48"/>
      <c r="BO982" s="48"/>
      <c r="BP982" s="48"/>
      <c r="BQ982" s="48"/>
      <c r="BR982" s="48"/>
      <c r="BS982" s="48"/>
      <c r="BT982" s="48"/>
      <c r="BU982" s="48"/>
      <c r="BV982" s="48"/>
      <c r="BW982" s="48"/>
      <c r="BX982" s="48"/>
      <c r="BY982" s="48"/>
      <c r="BZ982" s="48"/>
    </row>
    <row r="983" spans="1:78" ht="15.75" x14ac:dyDescent="0.25">
      <c r="A983" s="20"/>
      <c r="B983" s="47"/>
      <c r="C983" s="51"/>
      <c r="D983" s="51"/>
      <c r="E983" s="51"/>
      <c r="F983" s="48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48"/>
      <c r="BF983" s="48"/>
      <c r="BG983" s="48"/>
      <c r="BH983" s="48"/>
      <c r="BI983" s="48"/>
      <c r="BJ983" s="48"/>
      <c r="BK983" s="48"/>
      <c r="BL983" s="48"/>
      <c r="BM983" s="48"/>
      <c r="BN983" s="48"/>
      <c r="BO983" s="48"/>
      <c r="BP983" s="48"/>
      <c r="BQ983" s="48"/>
      <c r="BR983" s="48"/>
      <c r="BS983" s="48"/>
      <c r="BT983" s="48"/>
      <c r="BU983" s="48"/>
      <c r="BV983" s="48"/>
      <c r="BW983" s="48"/>
      <c r="BX983" s="48"/>
      <c r="BY983" s="48"/>
      <c r="BZ983" s="48"/>
    </row>
    <row r="984" spans="1:78" ht="15.75" x14ac:dyDescent="0.25">
      <c r="A984" s="20"/>
      <c r="B984" s="47"/>
      <c r="C984" s="51"/>
      <c r="D984" s="51"/>
      <c r="E984" s="51"/>
      <c r="F984" s="48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48"/>
      <c r="BF984" s="48"/>
      <c r="BG984" s="48"/>
      <c r="BH984" s="48"/>
      <c r="BI984" s="48"/>
      <c r="BJ984" s="48"/>
      <c r="BK984" s="48"/>
      <c r="BL984" s="48"/>
      <c r="BM984" s="48"/>
      <c r="BN984" s="48"/>
      <c r="BO984" s="48"/>
      <c r="BP984" s="48"/>
      <c r="BQ984" s="48"/>
      <c r="BR984" s="48"/>
      <c r="BS984" s="48"/>
      <c r="BT984" s="48"/>
      <c r="BU984" s="48"/>
      <c r="BV984" s="48"/>
      <c r="BW984" s="48"/>
      <c r="BX984" s="48"/>
      <c r="BY984" s="48"/>
      <c r="BZ984" s="48"/>
    </row>
    <row r="985" spans="1:78" ht="15.75" x14ac:dyDescent="0.25">
      <c r="A985" s="20"/>
      <c r="B985" s="47"/>
      <c r="C985" s="51"/>
      <c r="D985" s="51"/>
      <c r="E985" s="51"/>
      <c r="F985" s="48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8"/>
      <c r="BK985" s="48"/>
      <c r="BL985" s="48"/>
      <c r="BM985" s="48"/>
      <c r="BN985" s="48"/>
      <c r="BO985" s="48"/>
      <c r="BP985" s="48"/>
      <c r="BQ985" s="48"/>
      <c r="BR985" s="48"/>
      <c r="BS985" s="48"/>
      <c r="BT985" s="48"/>
      <c r="BU985" s="48"/>
      <c r="BV985" s="48"/>
      <c r="BW985" s="48"/>
      <c r="BX985" s="48"/>
      <c r="BY985" s="48"/>
      <c r="BZ985" s="48"/>
    </row>
    <row r="986" spans="1:78" ht="15.75" x14ac:dyDescent="0.25">
      <c r="A986" s="20"/>
      <c r="B986" s="47"/>
      <c r="C986" s="51"/>
      <c r="D986" s="51"/>
      <c r="E986" s="51"/>
      <c r="F986" s="48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/>
      <c r="BJ986" s="48"/>
      <c r="BK986" s="48"/>
      <c r="BL986" s="48"/>
      <c r="BM986" s="48"/>
      <c r="BN986" s="48"/>
      <c r="BO986" s="48"/>
      <c r="BP986" s="48"/>
      <c r="BQ986" s="48"/>
      <c r="BR986" s="48"/>
      <c r="BS986" s="48"/>
      <c r="BT986" s="48"/>
      <c r="BU986" s="48"/>
      <c r="BV986" s="48"/>
      <c r="BW986" s="48"/>
      <c r="BX986" s="48"/>
      <c r="BY986" s="48"/>
      <c r="BZ986" s="48"/>
    </row>
    <row r="987" spans="1:78" ht="15.75" x14ac:dyDescent="0.25">
      <c r="A987" s="20"/>
      <c r="B987" s="47"/>
      <c r="C987" s="51"/>
      <c r="D987" s="51"/>
      <c r="E987" s="51"/>
      <c r="F987" s="48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48"/>
      <c r="BF987" s="48"/>
      <c r="BG987" s="48"/>
      <c r="BH987" s="48"/>
      <c r="BI987" s="48"/>
      <c r="BJ987" s="48"/>
      <c r="BK987" s="48"/>
      <c r="BL987" s="48"/>
      <c r="BM987" s="48"/>
      <c r="BN987" s="48"/>
      <c r="BO987" s="48"/>
      <c r="BP987" s="48"/>
      <c r="BQ987" s="48"/>
      <c r="BR987" s="48"/>
      <c r="BS987" s="48"/>
      <c r="BT987" s="48"/>
      <c r="BU987" s="48"/>
      <c r="BV987" s="48"/>
      <c r="BW987" s="48"/>
      <c r="BX987" s="48"/>
      <c r="BY987" s="48"/>
      <c r="BZ987" s="48"/>
    </row>
    <row r="988" spans="1:78" ht="15.75" x14ac:dyDescent="0.25">
      <c r="A988" s="20"/>
      <c r="B988" s="47"/>
      <c r="C988" s="51"/>
      <c r="D988" s="51"/>
      <c r="E988" s="51"/>
      <c r="F988" s="48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8"/>
      <c r="BK988" s="48"/>
      <c r="BL988" s="48"/>
      <c r="BM988" s="48"/>
      <c r="BN988" s="48"/>
      <c r="BO988" s="48"/>
      <c r="BP988" s="48"/>
      <c r="BQ988" s="48"/>
      <c r="BR988" s="48"/>
      <c r="BS988" s="48"/>
      <c r="BT988" s="48"/>
      <c r="BU988" s="48"/>
      <c r="BV988" s="48"/>
      <c r="BW988" s="48"/>
      <c r="BX988" s="48"/>
      <c r="BY988" s="48"/>
      <c r="BZ988" s="48"/>
    </row>
    <row r="989" spans="1:78" ht="15.75" x14ac:dyDescent="0.25">
      <c r="A989" s="20"/>
      <c r="B989" s="47"/>
      <c r="C989" s="51"/>
      <c r="D989" s="51"/>
      <c r="E989" s="51"/>
      <c r="F989" s="48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48"/>
      <c r="BF989" s="48"/>
      <c r="BG989" s="48"/>
      <c r="BH989" s="48"/>
      <c r="BI989" s="48"/>
      <c r="BJ989" s="48"/>
      <c r="BK989" s="48"/>
      <c r="BL989" s="48"/>
      <c r="BM989" s="48"/>
      <c r="BN989" s="48"/>
      <c r="BO989" s="48"/>
      <c r="BP989" s="48"/>
      <c r="BQ989" s="48"/>
      <c r="BR989" s="48"/>
      <c r="BS989" s="48"/>
      <c r="BT989" s="48"/>
      <c r="BU989" s="48"/>
      <c r="BV989" s="48"/>
      <c r="BW989" s="48"/>
      <c r="BX989" s="48"/>
      <c r="BY989" s="48"/>
      <c r="BZ989" s="48"/>
    </row>
    <row r="990" spans="1:78" ht="15.75" x14ac:dyDescent="0.25">
      <c r="A990" s="20"/>
      <c r="B990" s="47"/>
      <c r="C990" s="51"/>
      <c r="D990" s="51"/>
      <c r="E990" s="51"/>
      <c r="F990" s="48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48"/>
      <c r="BF990" s="48"/>
      <c r="BG990" s="48"/>
      <c r="BH990" s="48"/>
      <c r="BI990" s="48"/>
      <c r="BJ990" s="48"/>
      <c r="BK990" s="48"/>
      <c r="BL990" s="48"/>
      <c r="BM990" s="48"/>
      <c r="BN990" s="48"/>
      <c r="BO990" s="48"/>
      <c r="BP990" s="48"/>
      <c r="BQ990" s="48"/>
      <c r="BR990" s="48"/>
      <c r="BS990" s="48"/>
      <c r="BT990" s="48"/>
      <c r="BU990" s="48"/>
      <c r="BV990" s="48"/>
      <c r="BW990" s="48"/>
      <c r="BX990" s="48"/>
      <c r="BY990" s="48"/>
      <c r="BZ990" s="48"/>
    </row>
    <row r="991" spans="1:78" ht="15.75" x14ac:dyDescent="0.25">
      <c r="A991" s="20"/>
      <c r="B991" s="47"/>
      <c r="C991" s="51"/>
      <c r="D991" s="51"/>
      <c r="E991" s="51"/>
      <c r="F991" s="48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8"/>
      <c r="BK991" s="48"/>
      <c r="BL991" s="48"/>
      <c r="BM991" s="48"/>
      <c r="BN991" s="48"/>
      <c r="BO991" s="48"/>
      <c r="BP991" s="48"/>
      <c r="BQ991" s="48"/>
      <c r="BR991" s="48"/>
      <c r="BS991" s="48"/>
      <c r="BT991" s="48"/>
      <c r="BU991" s="48"/>
      <c r="BV991" s="48"/>
      <c r="BW991" s="48"/>
      <c r="BX991" s="48"/>
      <c r="BY991" s="48"/>
      <c r="BZ991" s="48"/>
    </row>
    <row r="992" spans="1:78" ht="15.75" x14ac:dyDescent="0.25">
      <c r="A992" s="20"/>
      <c r="B992" s="47"/>
      <c r="C992" s="51"/>
      <c r="D992" s="51"/>
      <c r="E992" s="51"/>
      <c r="F992" s="48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48"/>
      <c r="BF992" s="48"/>
      <c r="BG992" s="48"/>
      <c r="BH992" s="48"/>
      <c r="BI992" s="48"/>
      <c r="BJ992" s="48"/>
      <c r="BK992" s="48"/>
      <c r="BL992" s="48"/>
      <c r="BM992" s="48"/>
      <c r="BN992" s="48"/>
      <c r="BO992" s="48"/>
      <c r="BP992" s="48"/>
      <c r="BQ992" s="48"/>
      <c r="BR992" s="48"/>
      <c r="BS992" s="48"/>
      <c r="BT992" s="48"/>
      <c r="BU992" s="48"/>
      <c r="BV992" s="48"/>
      <c r="BW992" s="48"/>
      <c r="BX992" s="48"/>
      <c r="BY992" s="48"/>
      <c r="BZ992" s="48"/>
    </row>
    <row r="993" spans="1:78" ht="15.75" x14ac:dyDescent="0.25">
      <c r="A993" s="20"/>
      <c r="B993" s="47"/>
      <c r="C993" s="51"/>
      <c r="D993" s="51"/>
      <c r="E993" s="51"/>
      <c r="F993" s="48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48"/>
      <c r="BF993" s="48"/>
      <c r="BG993" s="48"/>
      <c r="BH993" s="48"/>
      <c r="BI993" s="48"/>
      <c r="BJ993" s="48"/>
      <c r="BK993" s="48"/>
      <c r="BL993" s="48"/>
      <c r="BM993" s="48"/>
      <c r="BN993" s="48"/>
      <c r="BO993" s="48"/>
      <c r="BP993" s="48"/>
      <c r="BQ993" s="48"/>
      <c r="BR993" s="48"/>
      <c r="BS993" s="48"/>
      <c r="BT993" s="48"/>
      <c r="BU993" s="48"/>
      <c r="BV993" s="48"/>
      <c r="BW993" s="48"/>
      <c r="BX993" s="48"/>
      <c r="BY993" s="48"/>
      <c r="BZ993" s="48"/>
    </row>
    <row r="994" spans="1:78" ht="15.75" x14ac:dyDescent="0.25">
      <c r="A994" s="20"/>
      <c r="B994" s="47"/>
      <c r="C994" s="51"/>
      <c r="D994" s="51"/>
      <c r="E994" s="51"/>
      <c r="F994" s="48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48"/>
      <c r="BF994" s="48"/>
      <c r="BG994" s="48"/>
      <c r="BH994" s="48"/>
      <c r="BI994" s="48"/>
      <c r="BJ994" s="48"/>
      <c r="BK994" s="48"/>
      <c r="BL994" s="48"/>
      <c r="BM994" s="48"/>
      <c r="BN994" s="48"/>
      <c r="BO994" s="48"/>
      <c r="BP994" s="48"/>
      <c r="BQ994" s="48"/>
      <c r="BR994" s="48"/>
      <c r="BS994" s="48"/>
      <c r="BT994" s="48"/>
      <c r="BU994" s="48"/>
      <c r="BV994" s="48"/>
      <c r="BW994" s="48"/>
      <c r="BX994" s="48"/>
      <c r="BY994" s="48"/>
      <c r="BZ994" s="48"/>
    </row>
    <row r="995" spans="1:78" ht="15.75" x14ac:dyDescent="0.25">
      <c r="A995" s="20"/>
      <c r="B995" s="47"/>
      <c r="C995" s="51"/>
      <c r="D995" s="51"/>
      <c r="E995" s="51"/>
      <c r="F995" s="48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/>
      <c r="BE995" s="48"/>
      <c r="BF995" s="48"/>
      <c r="BG995" s="48"/>
      <c r="BH995" s="48"/>
      <c r="BI995" s="48"/>
      <c r="BJ995" s="48"/>
      <c r="BK995" s="48"/>
      <c r="BL995" s="48"/>
      <c r="BM995" s="48"/>
      <c r="BN995" s="48"/>
      <c r="BO995" s="48"/>
      <c r="BP995" s="48"/>
      <c r="BQ995" s="48"/>
      <c r="BR995" s="48"/>
      <c r="BS995" s="48"/>
      <c r="BT995" s="48"/>
      <c r="BU995" s="48"/>
      <c r="BV995" s="48"/>
      <c r="BW995" s="48"/>
      <c r="BX995" s="48"/>
      <c r="BY995" s="48"/>
      <c r="BZ995" s="48"/>
    </row>
    <row r="996" spans="1:78" ht="15.75" x14ac:dyDescent="0.25">
      <c r="A996" s="20"/>
      <c r="B996" s="47"/>
      <c r="C996" s="51"/>
      <c r="D996" s="51"/>
      <c r="E996" s="51"/>
      <c r="F996" s="48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/>
      <c r="BE996" s="48"/>
      <c r="BF996" s="48"/>
      <c r="BG996" s="48"/>
      <c r="BH996" s="48"/>
      <c r="BI996" s="48"/>
      <c r="BJ996" s="48"/>
      <c r="BK996" s="48"/>
      <c r="BL996" s="48"/>
      <c r="BM996" s="48"/>
      <c r="BN996" s="48"/>
      <c r="BO996" s="48"/>
      <c r="BP996" s="48"/>
      <c r="BQ996" s="48"/>
      <c r="BR996" s="48"/>
      <c r="BS996" s="48"/>
      <c r="BT996" s="48"/>
      <c r="BU996" s="48"/>
      <c r="BV996" s="48"/>
      <c r="BW996" s="48"/>
      <c r="BX996" s="48"/>
      <c r="BY996" s="48"/>
      <c r="BZ996" s="48"/>
    </row>
    <row r="997" spans="1:78" ht="15.75" x14ac:dyDescent="0.25">
      <c r="A997" s="20"/>
      <c r="B997" s="47"/>
      <c r="C997" s="51"/>
      <c r="D997" s="51"/>
      <c r="E997" s="51"/>
      <c r="F997" s="48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48"/>
      <c r="BF997" s="48"/>
      <c r="BG997" s="48"/>
      <c r="BH997" s="48"/>
      <c r="BI997" s="48"/>
      <c r="BJ997" s="48"/>
      <c r="BK997" s="48"/>
      <c r="BL997" s="48"/>
      <c r="BM997" s="48"/>
      <c r="BN997" s="48"/>
      <c r="BO997" s="48"/>
      <c r="BP997" s="48"/>
      <c r="BQ997" s="48"/>
      <c r="BR997" s="48"/>
      <c r="BS997" s="48"/>
      <c r="BT997" s="48"/>
      <c r="BU997" s="48"/>
      <c r="BV997" s="48"/>
      <c r="BW997" s="48"/>
      <c r="BX997" s="48"/>
      <c r="BY997" s="48"/>
      <c r="BZ997" s="48"/>
    </row>
    <row r="998" spans="1:78" ht="15.75" x14ac:dyDescent="0.25">
      <c r="A998" s="20"/>
      <c r="B998" s="47"/>
      <c r="C998" s="51"/>
      <c r="D998" s="51"/>
      <c r="E998" s="51"/>
      <c r="F998" s="48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/>
      <c r="BE998" s="48"/>
      <c r="BF998" s="48"/>
      <c r="BG998" s="48"/>
      <c r="BH998" s="48"/>
      <c r="BI998" s="48"/>
      <c r="BJ998" s="48"/>
      <c r="BK998" s="48"/>
      <c r="BL998" s="48"/>
      <c r="BM998" s="48"/>
      <c r="BN998" s="48"/>
      <c r="BO998" s="48"/>
      <c r="BP998" s="48"/>
      <c r="BQ998" s="48"/>
      <c r="BR998" s="48"/>
      <c r="BS998" s="48"/>
      <c r="BT998" s="48"/>
      <c r="BU998" s="48"/>
      <c r="BV998" s="48"/>
      <c r="BW998" s="48"/>
      <c r="BX998" s="48"/>
      <c r="BY998" s="48"/>
      <c r="BZ998" s="48"/>
    </row>
    <row r="999" spans="1:78" ht="15.75" x14ac:dyDescent="0.25">
      <c r="A999" s="20"/>
      <c r="B999" s="47"/>
      <c r="C999" s="51"/>
      <c r="D999" s="51"/>
      <c r="E999" s="51"/>
      <c r="F999" s="48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/>
      <c r="BE999" s="48"/>
      <c r="BF999" s="48"/>
      <c r="BG999" s="48"/>
      <c r="BH999" s="48"/>
      <c r="BI999" s="48"/>
      <c r="BJ999" s="48"/>
      <c r="BK999" s="48"/>
      <c r="BL999" s="48"/>
      <c r="BM999" s="48"/>
      <c r="BN999" s="48"/>
      <c r="BO999" s="48"/>
      <c r="BP999" s="48"/>
      <c r="BQ999" s="48"/>
      <c r="BR999" s="48"/>
      <c r="BS999" s="48"/>
      <c r="BT999" s="48"/>
      <c r="BU999" s="48"/>
      <c r="BV999" s="48"/>
      <c r="BW999" s="48"/>
      <c r="BX999" s="48"/>
      <c r="BY999" s="48"/>
      <c r="BZ999" s="48"/>
    </row>
    <row r="1000" spans="1:78" ht="15.75" x14ac:dyDescent="0.25">
      <c r="A1000" s="20"/>
      <c r="B1000" s="47"/>
      <c r="C1000" s="51"/>
      <c r="D1000" s="51"/>
      <c r="E1000" s="51"/>
      <c r="F1000" s="48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48"/>
      <c r="BF1000" s="48"/>
      <c r="BG1000" s="48"/>
      <c r="BH1000" s="48"/>
      <c r="BI1000" s="48"/>
      <c r="BJ1000" s="48"/>
      <c r="BK1000" s="48"/>
      <c r="BL1000" s="48"/>
      <c r="BM1000" s="48"/>
      <c r="BN1000" s="48"/>
      <c r="BO1000" s="48"/>
      <c r="BP1000" s="48"/>
      <c r="BQ1000" s="48"/>
      <c r="BR1000" s="48"/>
      <c r="BS1000" s="48"/>
      <c r="BT1000" s="48"/>
      <c r="BU1000" s="48"/>
      <c r="BV1000" s="48"/>
      <c r="BW1000" s="48"/>
      <c r="BX1000" s="48"/>
      <c r="BY1000" s="48"/>
      <c r="BZ1000" s="48"/>
    </row>
    <row r="1001" spans="1:78" ht="15.75" x14ac:dyDescent="0.25">
      <c r="A1001" s="20"/>
      <c r="B1001" s="47"/>
      <c r="C1001" s="51"/>
      <c r="D1001" s="51"/>
      <c r="E1001" s="51"/>
      <c r="F1001" s="48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8"/>
      <c r="Z1001" s="48"/>
      <c r="AA1001" s="48"/>
      <c r="AB1001" s="48"/>
      <c r="AC1001" s="48"/>
      <c r="AD1001" s="48"/>
      <c r="AE1001" s="48"/>
      <c r="AF1001" s="48"/>
      <c r="AG1001" s="48"/>
      <c r="AH1001" s="48"/>
      <c r="AI1001" s="48"/>
      <c r="AJ1001" s="48"/>
      <c r="AK1001" s="48"/>
      <c r="AL1001" s="48"/>
      <c r="AM1001" s="48"/>
      <c r="AN1001" s="48"/>
      <c r="AO1001" s="48"/>
      <c r="AP1001" s="48"/>
      <c r="AQ1001" s="48"/>
      <c r="AR1001" s="48"/>
      <c r="AS1001" s="48"/>
      <c r="AT1001" s="48"/>
      <c r="AU1001" s="48"/>
      <c r="AV1001" s="48"/>
      <c r="AW1001" s="48"/>
      <c r="AX1001" s="48"/>
      <c r="AY1001" s="48"/>
      <c r="AZ1001" s="48"/>
      <c r="BA1001" s="48"/>
      <c r="BB1001" s="48"/>
      <c r="BC1001" s="48"/>
      <c r="BD1001" s="48"/>
      <c r="BE1001" s="48"/>
      <c r="BF1001" s="48"/>
      <c r="BG1001" s="48"/>
      <c r="BH1001" s="48"/>
      <c r="BI1001" s="48"/>
      <c r="BJ1001" s="48"/>
      <c r="BK1001" s="48"/>
      <c r="BL1001" s="48"/>
      <c r="BM1001" s="48"/>
      <c r="BN1001" s="48"/>
      <c r="BO1001" s="48"/>
      <c r="BP1001" s="48"/>
      <c r="BQ1001" s="48"/>
      <c r="BR1001" s="48"/>
      <c r="BS1001" s="48"/>
      <c r="BT1001" s="48"/>
      <c r="BU1001" s="48"/>
      <c r="BV1001" s="48"/>
      <c r="BW1001" s="48"/>
      <c r="BX1001" s="48"/>
      <c r="BY1001" s="48"/>
      <c r="BZ1001" s="48"/>
    </row>
    <row r="1002" spans="1:78" ht="15.75" x14ac:dyDescent="0.25">
      <c r="A1002" s="20"/>
      <c r="B1002" s="47"/>
      <c r="C1002" s="51"/>
      <c r="D1002" s="51"/>
      <c r="E1002" s="51"/>
      <c r="F1002" s="48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8"/>
      <c r="Z1002" s="48"/>
      <c r="AA1002" s="48"/>
      <c r="AB1002" s="48"/>
      <c r="AC1002" s="48"/>
      <c r="AD1002" s="48"/>
      <c r="AE1002" s="48"/>
      <c r="AF1002" s="48"/>
      <c r="AG1002" s="48"/>
      <c r="AH1002" s="48"/>
      <c r="AI1002" s="48"/>
      <c r="AJ1002" s="48"/>
      <c r="AK1002" s="48"/>
      <c r="AL1002" s="48"/>
      <c r="AM1002" s="48"/>
      <c r="AN1002" s="48"/>
      <c r="AO1002" s="48"/>
      <c r="AP1002" s="48"/>
      <c r="AQ1002" s="48"/>
      <c r="AR1002" s="48"/>
      <c r="AS1002" s="48"/>
      <c r="AT1002" s="48"/>
      <c r="AU1002" s="48"/>
      <c r="AV1002" s="48"/>
      <c r="AW1002" s="48"/>
      <c r="AX1002" s="48"/>
      <c r="AY1002" s="48"/>
      <c r="AZ1002" s="48"/>
      <c r="BA1002" s="48"/>
      <c r="BB1002" s="48"/>
      <c r="BC1002" s="48"/>
      <c r="BD1002" s="48"/>
      <c r="BE1002" s="48"/>
      <c r="BF1002" s="48"/>
      <c r="BG1002" s="48"/>
      <c r="BH1002" s="48"/>
      <c r="BI1002" s="48"/>
      <c r="BJ1002" s="48"/>
      <c r="BK1002" s="48"/>
      <c r="BL1002" s="48"/>
      <c r="BM1002" s="48"/>
      <c r="BN1002" s="48"/>
      <c r="BO1002" s="48"/>
      <c r="BP1002" s="48"/>
      <c r="BQ1002" s="48"/>
      <c r="BR1002" s="48"/>
      <c r="BS1002" s="48"/>
      <c r="BT1002" s="48"/>
      <c r="BU1002" s="48"/>
      <c r="BV1002" s="48"/>
      <c r="BW1002" s="48"/>
      <c r="BX1002" s="48"/>
      <c r="BY1002" s="48"/>
      <c r="BZ1002" s="48"/>
    </row>
    <row r="1003" spans="1:78" ht="15.75" x14ac:dyDescent="0.25">
      <c r="A1003" s="20"/>
      <c r="B1003" s="47"/>
      <c r="C1003" s="51"/>
      <c r="D1003" s="51"/>
      <c r="E1003" s="51"/>
      <c r="F1003" s="48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8"/>
      <c r="Z1003" s="48"/>
      <c r="AA1003" s="48"/>
      <c r="AB1003" s="48"/>
      <c r="AC1003" s="48"/>
      <c r="AD1003" s="48"/>
      <c r="AE1003" s="48"/>
      <c r="AF1003" s="48"/>
      <c r="AG1003" s="48"/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8"/>
      <c r="AU1003" s="48"/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48"/>
      <c r="BF1003" s="48"/>
      <c r="BG1003" s="48"/>
      <c r="BH1003" s="48"/>
      <c r="BI1003" s="48"/>
      <c r="BJ1003" s="48"/>
      <c r="BK1003" s="48"/>
      <c r="BL1003" s="48"/>
      <c r="BM1003" s="48"/>
      <c r="BN1003" s="48"/>
      <c r="BO1003" s="48"/>
      <c r="BP1003" s="48"/>
      <c r="BQ1003" s="48"/>
      <c r="BR1003" s="48"/>
      <c r="BS1003" s="48"/>
      <c r="BT1003" s="48"/>
      <c r="BU1003" s="48"/>
      <c r="BV1003" s="48"/>
      <c r="BW1003" s="48"/>
      <c r="BX1003" s="48"/>
      <c r="BY1003" s="48"/>
      <c r="BZ1003" s="48"/>
    </row>
    <row r="1004" spans="1:78" ht="15.75" x14ac:dyDescent="0.25">
      <c r="A1004" s="20"/>
      <c r="B1004" s="47"/>
      <c r="C1004" s="51"/>
      <c r="D1004" s="51"/>
      <c r="E1004" s="51"/>
      <c r="F1004" s="48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8"/>
      <c r="Z1004" s="48"/>
      <c r="AA1004" s="48"/>
      <c r="AB1004" s="48"/>
      <c r="AC1004" s="48"/>
      <c r="AD1004" s="48"/>
      <c r="AE1004" s="48"/>
      <c r="AF1004" s="48"/>
      <c r="AG1004" s="48"/>
      <c r="AH1004" s="48"/>
      <c r="AI1004" s="48"/>
      <c r="AJ1004" s="48"/>
      <c r="AK1004" s="48"/>
      <c r="AL1004" s="48"/>
      <c r="AM1004" s="48"/>
      <c r="AN1004" s="48"/>
      <c r="AO1004" s="48"/>
      <c r="AP1004" s="48"/>
      <c r="AQ1004" s="48"/>
      <c r="AR1004" s="48"/>
      <c r="AS1004" s="48"/>
      <c r="AT1004" s="48"/>
      <c r="AU1004" s="48"/>
      <c r="AV1004" s="48"/>
      <c r="AW1004" s="48"/>
      <c r="AX1004" s="48"/>
      <c r="AY1004" s="48"/>
      <c r="AZ1004" s="48"/>
      <c r="BA1004" s="48"/>
      <c r="BB1004" s="48"/>
      <c r="BC1004" s="48"/>
      <c r="BD1004" s="48"/>
      <c r="BE1004" s="48"/>
      <c r="BF1004" s="48"/>
      <c r="BG1004" s="48"/>
      <c r="BH1004" s="48"/>
      <c r="BI1004" s="48"/>
      <c r="BJ1004" s="48"/>
      <c r="BK1004" s="48"/>
      <c r="BL1004" s="48"/>
      <c r="BM1004" s="48"/>
      <c r="BN1004" s="48"/>
      <c r="BO1004" s="48"/>
      <c r="BP1004" s="48"/>
      <c r="BQ1004" s="48"/>
      <c r="BR1004" s="48"/>
      <c r="BS1004" s="48"/>
      <c r="BT1004" s="48"/>
      <c r="BU1004" s="48"/>
      <c r="BV1004" s="48"/>
      <c r="BW1004" s="48"/>
      <c r="BX1004" s="48"/>
      <c r="BY1004" s="48"/>
      <c r="BZ1004" s="48"/>
    </row>
    <row r="1005" spans="1:78" ht="15.75" x14ac:dyDescent="0.25">
      <c r="A1005" s="20"/>
      <c r="B1005" s="47"/>
      <c r="C1005" s="51"/>
      <c r="D1005" s="51"/>
      <c r="E1005" s="51"/>
      <c r="F1005" s="48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8"/>
      <c r="Z1005" s="48"/>
      <c r="AA1005" s="48"/>
      <c r="AB1005" s="48"/>
      <c r="AC1005" s="48"/>
      <c r="AD1005" s="48"/>
      <c r="AE1005" s="48"/>
      <c r="AF1005" s="48"/>
      <c r="AG1005" s="48"/>
      <c r="AH1005" s="48"/>
      <c r="AI1005" s="48"/>
      <c r="AJ1005" s="48"/>
      <c r="AK1005" s="48"/>
      <c r="AL1005" s="48"/>
      <c r="AM1005" s="48"/>
      <c r="AN1005" s="48"/>
      <c r="AO1005" s="48"/>
      <c r="AP1005" s="48"/>
      <c r="AQ1005" s="48"/>
      <c r="AR1005" s="48"/>
      <c r="AS1005" s="48"/>
      <c r="AT1005" s="48"/>
      <c r="AU1005" s="48"/>
      <c r="AV1005" s="48"/>
      <c r="AW1005" s="48"/>
      <c r="AX1005" s="48"/>
      <c r="AY1005" s="48"/>
      <c r="AZ1005" s="48"/>
      <c r="BA1005" s="48"/>
      <c r="BB1005" s="48"/>
      <c r="BC1005" s="48"/>
      <c r="BD1005" s="48"/>
      <c r="BE1005" s="48"/>
      <c r="BF1005" s="48"/>
      <c r="BG1005" s="48"/>
      <c r="BH1005" s="48"/>
      <c r="BI1005" s="48"/>
      <c r="BJ1005" s="48"/>
      <c r="BK1005" s="48"/>
      <c r="BL1005" s="48"/>
      <c r="BM1005" s="48"/>
      <c r="BN1005" s="48"/>
      <c r="BO1005" s="48"/>
      <c r="BP1005" s="48"/>
      <c r="BQ1005" s="48"/>
      <c r="BR1005" s="48"/>
      <c r="BS1005" s="48"/>
      <c r="BT1005" s="48"/>
      <c r="BU1005" s="48"/>
      <c r="BV1005" s="48"/>
      <c r="BW1005" s="48"/>
      <c r="BX1005" s="48"/>
      <c r="BY1005" s="48"/>
      <c r="BZ1005" s="48"/>
    </row>
    <row r="1006" spans="1:78" ht="15.75" x14ac:dyDescent="0.25">
      <c r="A1006" s="20"/>
      <c r="B1006" s="47"/>
      <c r="C1006" s="51"/>
      <c r="D1006" s="51"/>
      <c r="E1006" s="51"/>
      <c r="F1006" s="48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8"/>
      <c r="Z1006" s="48"/>
      <c r="AA1006" s="48"/>
      <c r="AB1006" s="48"/>
      <c r="AC1006" s="48"/>
      <c r="AD1006" s="48"/>
      <c r="AE1006" s="48"/>
      <c r="AF1006" s="48"/>
      <c r="AG1006" s="48"/>
      <c r="AH1006" s="48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8"/>
      <c r="AU1006" s="48"/>
      <c r="AV1006" s="48"/>
      <c r="AW1006" s="48"/>
      <c r="AX1006" s="48"/>
      <c r="AY1006" s="48"/>
      <c r="AZ1006" s="48"/>
      <c r="BA1006" s="48"/>
      <c r="BB1006" s="48"/>
      <c r="BC1006" s="48"/>
      <c r="BD1006" s="48"/>
      <c r="BE1006" s="48"/>
      <c r="BF1006" s="48"/>
      <c r="BG1006" s="48"/>
      <c r="BH1006" s="48"/>
      <c r="BI1006" s="48"/>
      <c r="BJ1006" s="48"/>
      <c r="BK1006" s="48"/>
      <c r="BL1006" s="48"/>
      <c r="BM1006" s="48"/>
      <c r="BN1006" s="48"/>
      <c r="BO1006" s="48"/>
      <c r="BP1006" s="48"/>
      <c r="BQ1006" s="48"/>
      <c r="BR1006" s="48"/>
      <c r="BS1006" s="48"/>
      <c r="BT1006" s="48"/>
      <c r="BU1006" s="48"/>
      <c r="BV1006" s="48"/>
      <c r="BW1006" s="48"/>
      <c r="BX1006" s="48"/>
      <c r="BY1006" s="48"/>
      <c r="BZ1006" s="48"/>
    </row>
    <row r="1007" spans="1:78" ht="15.75" x14ac:dyDescent="0.25">
      <c r="A1007" s="20"/>
      <c r="B1007" s="47"/>
      <c r="C1007" s="51"/>
      <c r="D1007" s="51"/>
      <c r="E1007" s="51"/>
      <c r="F1007" s="48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8"/>
      <c r="Z1007" s="48"/>
      <c r="AA1007" s="48"/>
      <c r="AB1007" s="48"/>
      <c r="AC1007" s="48"/>
      <c r="AD1007" s="48"/>
      <c r="AE1007" s="48"/>
      <c r="AF1007" s="48"/>
      <c r="AG1007" s="48"/>
      <c r="AH1007" s="48"/>
      <c r="AI1007" s="48"/>
      <c r="AJ1007" s="48"/>
      <c r="AK1007" s="48"/>
      <c r="AL1007" s="48"/>
      <c r="AM1007" s="48"/>
      <c r="AN1007" s="48"/>
      <c r="AO1007" s="48"/>
      <c r="AP1007" s="48"/>
      <c r="AQ1007" s="48"/>
      <c r="AR1007" s="48"/>
      <c r="AS1007" s="48"/>
      <c r="AT1007" s="48"/>
      <c r="AU1007" s="48"/>
      <c r="AV1007" s="48"/>
      <c r="AW1007" s="48"/>
      <c r="AX1007" s="48"/>
      <c r="AY1007" s="48"/>
      <c r="AZ1007" s="48"/>
      <c r="BA1007" s="48"/>
      <c r="BB1007" s="48"/>
      <c r="BC1007" s="48"/>
      <c r="BD1007" s="48"/>
      <c r="BE1007" s="48"/>
      <c r="BF1007" s="48"/>
      <c r="BG1007" s="48"/>
      <c r="BH1007" s="48"/>
      <c r="BI1007" s="48"/>
      <c r="BJ1007" s="48"/>
      <c r="BK1007" s="48"/>
      <c r="BL1007" s="48"/>
      <c r="BM1007" s="48"/>
      <c r="BN1007" s="48"/>
      <c r="BO1007" s="48"/>
      <c r="BP1007" s="48"/>
      <c r="BQ1007" s="48"/>
      <c r="BR1007" s="48"/>
      <c r="BS1007" s="48"/>
      <c r="BT1007" s="48"/>
      <c r="BU1007" s="48"/>
      <c r="BV1007" s="48"/>
      <c r="BW1007" s="48"/>
      <c r="BX1007" s="48"/>
      <c r="BY1007" s="48"/>
      <c r="BZ1007" s="48"/>
    </row>
    <row r="1008" spans="1:78" ht="15.75" x14ac:dyDescent="0.25">
      <c r="A1008" s="20"/>
      <c r="B1008" s="47"/>
      <c r="C1008" s="51"/>
      <c r="D1008" s="51"/>
      <c r="E1008" s="51"/>
      <c r="F1008" s="48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8"/>
      <c r="Z1008" s="48"/>
      <c r="AA1008" s="48"/>
      <c r="AB1008" s="48"/>
      <c r="AC1008" s="48"/>
      <c r="AD1008" s="48"/>
      <c r="AE1008" s="48"/>
      <c r="AF1008" s="48"/>
      <c r="AG1008" s="48"/>
      <c r="AH1008" s="48"/>
      <c r="AI1008" s="48"/>
      <c r="AJ1008" s="48"/>
      <c r="AK1008" s="48"/>
      <c r="AL1008" s="48"/>
      <c r="AM1008" s="48"/>
      <c r="AN1008" s="48"/>
      <c r="AO1008" s="48"/>
      <c r="AP1008" s="48"/>
      <c r="AQ1008" s="48"/>
      <c r="AR1008" s="48"/>
      <c r="AS1008" s="48"/>
      <c r="AT1008" s="48"/>
      <c r="AU1008" s="48"/>
      <c r="AV1008" s="48"/>
      <c r="AW1008" s="48"/>
      <c r="AX1008" s="48"/>
      <c r="AY1008" s="48"/>
      <c r="AZ1008" s="48"/>
      <c r="BA1008" s="48"/>
      <c r="BB1008" s="48"/>
      <c r="BC1008" s="48"/>
      <c r="BD1008" s="48"/>
      <c r="BE1008" s="48"/>
      <c r="BF1008" s="48"/>
      <c r="BG1008" s="48"/>
      <c r="BH1008" s="48"/>
      <c r="BI1008" s="48"/>
      <c r="BJ1008" s="48"/>
      <c r="BK1008" s="48"/>
      <c r="BL1008" s="48"/>
      <c r="BM1008" s="48"/>
      <c r="BN1008" s="48"/>
      <c r="BO1008" s="48"/>
      <c r="BP1008" s="48"/>
      <c r="BQ1008" s="48"/>
      <c r="BR1008" s="48"/>
      <c r="BS1008" s="48"/>
      <c r="BT1008" s="48"/>
      <c r="BU1008" s="48"/>
      <c r="BV1008" s="48"/>
      <c r="BW1008" s="48"/>
      <c r="BX1008" s="48"/>
      <c r="BY1008" s="48"/>
      <c r="BZ1008" s="48"/>
    </row>
    <row r="1009" spans="1:78" ht="15.75" x14ac:dyDescent="0.25">
      <c r="A1009" s="20"/>
      <c r="B1009" s="47"/>
      <c r="C1009" s="51"/>
      <c r="D1009" s="51"/>
      <c r="E1009" s="51"/>
      <c r="F1009" s="48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8"/>
      <c r="Z1009" s="48"/>
      <c r="AA1009" s="48"/>
      <c r="AB1009" s="48"/>
      <c r="AC1009" s="48"/>
      <c r="AD1009" s="48"/>
      <c r="AE1009" s="48"/>
      <c r="AF1009" s="48"/>
      <c r="AG1009" s="48"/>
      <c r="AH1009" s="48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8"/>
      <c r="AU1009" s="48"/>
      <c r="AV1009" s="48"/>
      <c r="AW1009" s="48"/>
      <c r="AX1009" s="48"/>
      <c r="AY1009" s="48"/>
      <c r="AZ1009" s="48"/>
      <c r="BA1009" s="48"/>
      <c r="BB1009" s="48"/>
      <c r="BC1009" s="48"/>
      <c r="BD1009" s="48"/>
      <c r="BE1009" s="48"/>
      <c r="BF1009" s="48"/>
      <c r="BG1009" s="48"/>
      <c r="BH1009" s="48"/>
      <c r="BI1009" s="48"/>
      <c r="BJ1009" s="48"/>
      <c r="BK1009" s="48"/>
      <c r="BL1009" s="48"/>
      <c r="BM1009" s="48"/>
      <c r="BN1009" s="48"/>
      <c r="BO1009" s="48"/>
      <c r="BP1009" s="48"/>
      <c r="BQ1009" s="48"/>
      <c r="BR1009" s="48"/>
      <c r="BS1009" s="48"/>
      <c r="BT1009" s="48"/>
      <c r="BU1009" s="48"/>
      <c r="BV1009" s="48"/>
      <c r="BW1009" s="48"/>
      <c r="BX1009" s="48"/>
      <c r="BY1009" s="48"/>
      <c r="BZ1009" s="48"/>
    </row>
    <row r="1010" spans="1:78" ht="15.75" x14ac:dyDescent="0.25">
      <c r="A1010" s="20"/>
      <c r="B1010" s="47"/>
      <c r="C1010" s="51"/>
      <c r="D1010" s="51"/>
      <c r="E1010" s="51"/>
      <c r="F1010" s="48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8"/>
      <c r="Z1010" s="48"/>
      <c r="AA1010" s="48"/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8"/>
      <c r="AN1010" s="48"/>
      <c r="AO1010" s="48"/>
      <c r="AP1010" s="48"/>
      <c r="AQ1010" s="48"/>
      <c r="AR1010" s="48"/>
      <c r="AS1010" s="48"/>
      <c r="AT1010" s="48"/>
      <c r="AU1010" s="48"/>
      <c r="AV1010" s="48"/>
      <c r="AW1010" s="48"/>
      <c r="AX1010" s="48"/>
      <c r="AY1010" s="48"/>
      <c r="AZ1010" s="48"/>
      <c r="BA1010" s="48"/>
      <c r="BB1010" s="48"/>
      <c r="BC1010" s="48"/>
      <c r="BD1010" s="48"/>
      <c r="BE1010" s="48"/>
      <c r="BF1010" s="48"/>
      <c r="BG1010" s="48"/>
      <c r="BH1010" s="48"/>
      <c r="BI1010" s="48"/>
      <c r="BJ1010" s="48"/>
      <c r="BK1010" s="48"/>
      <c r="BL1010" s="48"/>
      <c r="BM1010" s="48"/>
      <c r="BN1010" s="48"/>
      <c r="BO1010" s="48"/>
      <c r="BP1010" s="48"/>
      <c r="BQ1010" s="48"/>
      <c r="BR1010" s="48"/>
      <c r="BS1010" s="48"/>
      <c r="BT1010" s="48"/>
      <c r="BU1010" s="48"/>
      <c r="BV1010" s="48"/>
      <c r="BW1010" s="48"/>
      <c r="BX1010" s="48"/>
      <c r="BY1010" s="48"/>
      <c r="BZ1010" s="48"/>
    </row>
    <row r="1011" spans="1:78" ht="15.75" x14ac:dyDescent="0.25">
      <c r="A1011" s="20"/>
      <c r="B1011" s="47"/>
      <c r="C1011" s="51"/>
      <c r="D1011" s="51"/>
      <c r="E1011" s="51"/>
      <c r="F1011" s="48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8"/>
      <c r="Z1011" s="48"/>
      <c r="AA1011" s="48"/>
      <c r="AB1011" s="48"/>
      <c r="AC1011" s="48"/>
      <c r="AD1011" s="48"/>
      <c r="AE1011" s="48"/>
      <c r="AF1011" s="48"/>
      <c r="AG1011" s="48"/>
      <c r="AH1011" s="48"/>
      <c r="AI1011" s="48"/>
      <c r="AJ1011" s="48"/>
      <c r="AK1011" s="48"/>
      <c r="AL1011" s="48"/>
      <c r="AM1011" s="48"/>
      <c r="AN1011" s="48"/>
      <c r="AO1011" s="48"/>
      <c r="AP1011" s="48"/>
      <c r="AQ1011" s="48"/>
      <c r="AR1011" s="48"/>
      <c r="AS1011" s="48"/>
      <c r="AT1011" s="48"/>
      <c r="AU1011" s="48"/>
      <c r="AV1011" s="48"/>
      <c r="AW1011" s="48"/>
      <c r="AX1011" s="48"/>
      <c r="AY1011" s="48"/>
      <c r="AZ1011" s="48"/>
      <c r="BA1011" s="48"/>
      <c r="BB1011" s="48"/>
      <c r="BC1011" s="48"/>
      <c r="BD1011" s="48"/>
      <c r="BE1011" s="48"/>
      <c r="BF1011" s="48"/>
      <c r="BG1011" s="48"/>
      <c r="BH1011" s="48"/>
      <c r="BI1011" s="48"/>
      <c r="BJ1011" s="48"/>
      <c r="BK1011" s="48"/>
      <c r="BL1011" s="48"/>
      <c r="BM1011" s="48"/>
      <c r="BN1011" s="48"/>
      <c r="BO1011" s="48"/>
      <c r="BP1011" s="48"/>
      <c r="BQ1011" s="48"/>
      <c r="BR1011" s="48"/>
      <c r="BS1011" s="48"/>
      <c r="BT1011" s="48"/>
      <c r="BU1011" s="48"/>
      <c r="BV1011" s="48"/>
      <c r="BW1011" s="48"/>
      <c r="BX1011" s="48"/>
      <c r="BY1011" s="48"/>
      <c r="BZ1011" s="48"/>
    </row>
    <row r="1012" spans="1:78" ht="15.75" x14ac:dyDescent="0.25">
      <c r="A1012" s="20"/>
      <c r="B1012" s="47"/>
      <c r="C1012" s="51"/>
      <c r="D1012" s="51"/>
      <c r="E1012" s="51"/>
      <c r="F1012" s="48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8"/>
      <c r="Z1012" s="48"/>
      <c r="AA1012" s="48"/>
      <c r="AB1012" s="48"/>
      <c r="AC1012" s="48"/>
      <c r="AD1012" s="48"/>
      <c r="AE1012" s="48"/>
      <c r="AF1012" s="48"/>
      <c r="AG1012" s="48"/>
      <c r="AH1012" s="48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8"/>
      <c r="AU1012" s="48"/>
      <c r="AV1012" s="48"/>
      <c r="AW1012" s="48"/>
      <c r="AX1012" s="48"/>
      <c r="AY1012" s="48"/>
      <c r="AZ1012" s="48"/>
      <c r="BA1012" s="48"/>
      <c r="BB1012" s="48"/>
      <c r="BC1012" s="48"/>
      <c r="BD1012" s="48"/>
      <c r="BE1012" s="48"/>
      <c r="BF1012" s="48"/>
      <c r="BG1012" s="48"/>
      <c r="BH1012" s="48"/>
      <c r="BI1012" s="48"/>
      <c r="BJ1012" s="48"/>
      <c r="BK1012" s="48"/>
      <c r="BL1012" s="48"/>
      <c r="BM1012" s="48"/>
      <c r="BN1012" s="48"/>
      <c r="BO1012" s="48"/>
      <c r="BP1012" s="48"/>
      <c r="BQ1012" s="48"/>
      <c r="BR1012" s="48"/>
      <c r="BS1012" s="48"/>
      <c r="BT1012" s="48"/>
      <c r="BU1012" s="48"/>
      <c r="BV1012" s="48"/>
      <c r="BW1012" s="48"/>
      <c r="BX1012" s="48"/>
      <c r="BY1012" s="48"/>
      <c r="BZ1012" s="48"/>
    </row>
    <row r="1013" spans="1:78" ht="15.75" x14ac:dyDescent="0.25">
      <c r="A1013" s="20"/>
      <c r="B1013" s="47"/>
      <c r="C1013" s="51"/>
      <c r="D1013" s="51"/>
      <c r="E1013" s="51"/>
      <c r="F1013" s="48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8"/>
      <c r="Z1013" s="48"/>
      <c r="AA1013" s="48"/>
      <c r="AB1013" s="48"/>
      <c r="AC1013" s="48"/>
      <c r="AD1013" s="48"/>
      <c r="AE1013" s="48"/>
      <c r="AF1013" s="48"/>
      <c r="AG1013" s="48"/>
      <c r="AH1013" s="48"/>
      <c r="AI1013" s="48"/>
      <c r="AJ1013" s="48"/>
      <c r="AK1013" s="48"/>
      <c r="AL1013" s="48"/>
      <c r="AM1013" s="48"/>
      <c r="AN1013" s="48"/>
      <c r="AO1013" s="48"/>
      <c r="AP1013" s="48"/>
      <c r="AQ1013" s="48"/>
      <c r="AR1013" s="48"/>
      <c r="AS1013" s="48"/>
      <c r="AT1013" s="48"/>
      <c r="AU1013" s="48"/>
      <c r="AV1013" s="48"/>
      <c r="AW1013" s="48"/>
      <c r="AX1013" s="48"/>
      <c r="AY1013" s="48"/>
      <c r="AZ1013" s="48"/>
      <c r="BA1013" s="48"/>
      <c r="BB1013" s="48"/>
      <c r="BC1013" s="48"/>
      <c r="BD1013" s="48"/>
      <c r="BE1013" s="48"/>
      <c r="BF1013" s="48"/>
      <c r="BG1013" s="48"/>
      <c r="BH1013" s="48"/>
      <c r="BI1013" s="48"/>
      <c r="BJ1013" s="48"/>
      <c r="BK1013" s="48"/>
      <c r="BL1013" s="48"/>
      <c r="BM1013" s="48"/>
      <c r="BN1013" s="48"/>
      <c r="BO1013" s="48"/>
      <c r="BP1013" s="48"/>
      <c r="BQ1013" s="48"/>
      <c r="BR1013" s="48"/>
      <c r="BS1013" s="48"/>
      <c r="BT1013" s="48"/>
      <c r="BU1013" s="48"/>
      <c r="BV1013" s="48"/>
      <c r="BW1013" s="48"/>
      <c r="BX1013" s="48"/>
      <c r="BY1013" s="48"/>
      <c r="BZ1013" s="48"/>
    </row>
    <row r="1014" spans="1:78" ht="15.75" x14ac:dyDescent="0.25">
      <c r="A1014" s="20"/>
      <c r="B1014" s="47"/>
      <c r="C1014" s="51"/>
      <c r="D1014" s="51"/>
      <c r="E1014" s="51"/>
      <c r="F1014" s="48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8"/>
      <c r="Z1014" s="48"/>
      <c r="AA1014" s="48"/>
      <c r="AB1014" s="48"/>
      <c r="AC1014" s="48"/>
      <c r="AD1014" s="48"/>
      <c r="AE1014" s="48"/>
      <c r="AF1014" s="48"/>
      <c r="AG1014" s="48"/>
      <c r="AH1014" s="48"/>
      <c r="AI1014" s="48"/>
      <c r="AJ1014" s="48"/>
      <c r="AK1014" s="48"/>
      <c r="AL1014" s="48"/>
      <c r="AM1014" s="48"/>
      <c r="AN1014" s="48"/>
      <c r="AO1014" s="48"/>
      <c r="AP1014" s="48"/>
      <c r="AQ1014" s="48"/>
      <c r="AR1014" s="48"/>
      <c r="AS1014" s="48"/>
      <c r="AT1014" s="48"/>
      <c r="AU1014" s="48"/>
      <c r="AV1014" s="48"/>
      <c r="AW1014" s="48"/>
      <c r="AX1014" s="48"/>
      <c r="AY1014" s="48"/>
      <c r="AZ1014" s="48"/>
      <c r="BA1014" s="48"/>
      <c r="BB1014" s="48"/>
      <c r="BC1014" s="48"/>
      <c r="BD1014" s="48"/>
      <c r="BE1014" s="48"/>
      <c r="BF1014" s="48"/>
      <c r="BG1014" s="48"/>
      <c r="BH1014" s="48"/>
      <c r="BI1014" s="48"/>
      <c r="BJ1014" s="48"/>
      <c r="BK1014" s="48"/>
      <c r="BL1014" s="48"/>
      <c r="BM1014" s="48"/>
      <c r="BN1014" s="48"/>
      <c r="BO1014" s="48"/>
      <c r="BP1014" s="48"/>
      <c r="BQ1014" s="48"/>
      <c r="BR1014" s="48"/>
      <c r="BS1014" s="48"/>
      <c r="BT1014" s="48"/>
      <c r="BU1014" s="48"/>
      <c r="BV1014" s="48"/>
      <c r="BW1014" s="48"/>
      <c r="BX1014" s="48"/>
      <c r="BY1014" s="48"/>
      <c r="BZ1014" s="48"/>
    </row>
    <row r="1015" spans="1:78" ht="15.75" x14ac:dyDescent="0.25">
      <c r="A1015" s="20"/>
      <c r="B1015" s="47"/>
      <c r="C1015" s="51"/>
      <c r="D1015" s="51"/>
      <c r="E1015" s="51"/>
      <c r="F1015" s="48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8"/>
      <c r="Z1015" s="48"/>
      <c r="AA1015" s="48"/>
      <c r="AB1015" s="48"/>
      <c r="AC1015" s="48"/>
      <c r="AD1015" s="48"/>
      <c r="AE1015" s="48"/>
      <c r="AF1015" s="48"/>
      <c r="AG1015" s="48"/>
      <c r="AH1015" s="48"/>
      <c r="AI1015" s="48"/>
      <c r="AJ1015" s="48"/>
      <c r="AK1015" s="48"/>
      <c r="AL1015" s="48"/>
      <c r="AM1015" s="48"/>
      <c r="AN1015" s="48"/>
      <c r="AO1015" s="48"/>
      <c r="AP1015" s="48"/>
      <c r="AQ1015" s="48"/>
      <c r="AR1015" s="48"/>
      <c r="AS1015" s="48"/>
      <c r="AT1015" s="48"/>
      <c r="AU1015" s="48"/>
      <c r="AV1015" s="48"/>
      <c r="AW1015" s="48"/>
      <c r="AX1015" s="48"/>
      <c r="AY1015" s="48"/>
      <c r="AZ1015" s="48"/>
      <c r="BA1015" s="48"/>
      <c r="BB1015" s="48"/>
      <c r="BC1015" s="48"/>
      <c r="BD1015" s="48"/>
      <c r="BE1015" s="48"/>
      <c r="BF1015" s="48"/>
      <c r="BG1015" s="48"/>
      <c r="BH1015" s="48"/>
      <c r="BI1015" s="48"/>
      <c r="BJ1015" s="48"/>
      <c r="BK1015" s="48"/>
      <c r="BL1015" s="48"/>
      <c r="BM1015" s="48"/>
      <c r="BN1015" s="48"/>
      <c r="BO1015" s="48"/>
      <c r="BP1015" s="48"/>
      <c r="BQ1015" s="48"/>
      <c r="BR1015" s="48"/>
      <c r="BS1015" s="48"/>
      <c r="BT1015" s="48"/>
      <c r="BU1015" s="48"/>
      <c r="BV1015" s="48"/>
      <c r="BW1015" s="48"/>
      <c r="BX1015" s="48"/>
      <c r="BY1015" s="48"/>
      <c r="BZ1015" s="48"/>
    </row>
    <row r="1016" spans="1:78" ht="15.75" x14ac:dyDescent="0.25">
      <c r="A1016" s="20"/>
      <c r="B1016" s="47"/>
      <c r="C1016" s="51"/>
      <c r="D1016" s="51"/>
      <c r="E1016" s="51"/>
      <c r="F1016" s="48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8"/>
      <c r="Z1016" s="48"/>
      <c r="AA1016" s="48"/>
      <c r="AB1016" s="48"/>
      <c r="AC1016" s="48"/>
      <c r="AD1016" s="48"/>
      <c r="AE1016" s="48"/>
      <c r="AF1016" s="48"/>
      <c r="AG1016" s="48"/>
      <c r="AH1016" s="48"/>
      <c r="AI1016" s="48"/>
      <c r="AJ1016" s="48"/>
      <c r="AK1016" s="48"/>
      <c r="AL1016" s="48"/>
      <c r="AM1016" s="48"/>
      <c r="AN1016" s="48"/>
      <c r="AO1016" s="48"/>
      <c r="AP1016" s="48"/>
      <c r="AQ1016" s="48"/>
      <c r="AR1016" s="48"/>
      <c r="AS1016" s="48"/>
      <c r="AT1016" s="48"/>
      <c r="AU1016" s="48"/>
      <c r="AV1016" s="48"/>
      <c r="AW1016" s="48"/>
      <c r="AX1016" s="48"/>
      <c r="AY1016" s="48"/>
      <c r="AZ1016" s="48"/>
      <c r="BA1016" s="48"/>
      <c r="BB1016" s="48"/>
      <c r="BC1016" s="48"/>
      <c r="BD1016" s="48"/>
      <c r="BE1016" s="48"/>
      <c r="BF1016" s="48"/>
      <c r="BG1016" s="48"/>
      <c r="BH1016" s="48"/>
      <c r="BI1016" s="48"/>
      <c r="BJ1016" s="48"/>
      <c r="BK1016" s="48"/>
      <c r="BL1016" s="48"/>
      <c r="BM1016" s="48"/>
      <c r="BN1016" s="48"/>
      <c r="BO1016" s="48"/>
      <c r="BP1016" s="48"/>
      <c r="BQ1016" s="48"/>
      <c r="BR1016" s="48"/>
      <c r="BS1016" s="48"/>
      <c r="BT1016" s="48"/>
      <c r="BU1016" s="48"/>
      <c r="BV1016" s="48"/>
      <c r="BW1016" s="48"/>
      <c r="BX1016" s="48"/>
      <c r="BY1016" s="48"/>
      <c r="BZ1016" s="48"/>
    </row>
    <row r="1017" spans="1:78" ht="15.75" x14ac:dyDescent="0.25">
      <c r="A1017" s="20"/>
      <c r="B1017" s="47"/>
      <c r="C1017" s="51"/>
      <c r="D1017" s="51"/>
      <c r="E1017" s="51"/>
      <c r="F1017" s="48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8"/>
      <c r="Z1017" s="48"/>
      <c r="AA1017" s="48"/>
      <c r="AB1017" s="48"/>
      <c r="AC1017" s="48"/>
      <c r="AD1017" s="48"/>
      <c r="AE1017" s="48"/>
      <c r="AF1017" s="48"/>
      <c r="AG1017" s="48"/>
      <c r="AH1017" s="48"/>
      <c r="AI1017" s="48"/>
      <c r="AJ1017" s="48"/>
      <c r="AK1017" s="48"/>
      <c r="AL1017" s="48"/>
      <c r="AM1017" s="48"/>
      <c r="AN1017" s="48"/>
      <c r="AO1017" s="48"/>
      <c r="AP1017" s="48"/>
      <c r="AQ1017" s="48"/>
      <c r="AR1017" s="48"/>
      <c r="AS1017" s="48"/>
      <c r="AT1017" s="48"/>
      <c r="AU1017" s="48"/>
      <c r="AV1017" s="48"/>
      <c r="AW1017" s="48"/>
      <c r="AX1017" s="48"/>
      <c r="AY1017" s="48"/>
      <c r="AZ1017" s="48"/>
      <c r="BA1017" s="48"/>
      <c r="BB1017" s="48"/>
      <c r="BC1017" s="48"/>
      <c r="BD1017" s="48"/>
      <c r="BE1017" s="48"/>
      <c r="BF1017" s="48"/>
      <c r="BG1017" s="48"/>
      <c r="BH1017" s="48"/>
      <c r="BI1017" s="48"/>
      <c r="BJ1017" s="48"/>
      <c r="BK1017" s="48"/>
      <c r="BL1017" s="48"/>
      <c r="BM1017" s="48"/>
      <c r="BN1017" s="48"/>
      <c r="BO1017" s="48"/>
      <c r="BP1017" s="48"/>
      <c r="BQ1017" s="48"/>
      <c r="BR1017" s="48"/>
      <c r="BS1017" s="48"/>
      <c r="BT1017" s="48"/>
      <c r="BU1017" s="48"/>
      <c r="BV1017" s="48"/>
      <c r="BW1017" s="48"/>
      <c r="BX1017" s="48"/>
      <c r="BY1017" s="48"/>
      <c r="BZ1017" s="48"/>
    </row>
    <row r="1018" spans="1:78" ht="15.75" x14ac:dyDescent="0.25">
      <c r="A1018" s="20"/>
      <c r="B1018" s="47"/>
      <c r="C1018" s="51"/>
      <c r="D1018" s="51"/>
      <c r="E1018" s="51"/>
      <c r="F1018" s="48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8"/>
      <c r="Z1018" s="48"/>
      <c r="AA1018" s="48"/>
      <c r="AB1018" s="48"/>
      <c r="AC1018" s="48"/>
      <c r="AD1018" s="48"/>
      <c r="AE1018" s="48"/>
      <c r="AF1018" s="48"/>
      <c r="AG1018" s="48"/>
      <c r="AH1018" s="48"/>
      <c r="AI1018" s="48"/>
      <c r="AJ1018" s="48"/>
      <c r="AK1018" s="48"/>
      <c r="AL1018" s="48"/>
      <c r="AM1018" s="48"/>
      <c r="AN1018" s="48"/>
      <c r="AO1018" s="48"/>
      <c r="AP1018" s="48"/>
      <c r="AQ1018" s="48"/>
      <c r="AR1018" s="48"/>
      <c r="AS1018" s="48"/>
      <c r="AT1018" s="48"/>
      <c r="AU1018" s="48"/>
      <c r="AV1018" s="48"/>
      <c r="AW1018" s="48"/>
      <c r="AX1018" s="48"/>
      <c r="AY1018" s="48"/>
      <c r="AZ1018" s="48"/>
      <c r="BA1018" s="48"/>
      <c r="BB1018" s="48"/>
      <c r="BC1018" s="48"/>
      <c r="BD1018" s="48"/>
      <c r="BE1018" s="48"/>
      <c r="BF1018" s="48"/>
      <c r="BG1018" s="48"/>
      <c r="BH1018" s="48"/>
      <c r="BI1018" s="48"/>
      <c r="BJ1018" s="48"/>
      <c r="BK1018" s="48"/>
      <c r="BL1018" s="48"/>
      <c r="BM1018" s="48"/>
      <c r="BN1018" s="48"/>
      <c r="BO1018" s="48"/>
      <c r="BP1018" s="48"/>
      <c r="BQ1018" s="48"/>
      <c r="BR1018" s="48"/>
      <c r="BS1018" s="48"/>
      <c r="BT1018" s="48"/>
      <c r="BU1018" s="48"/>
      <c r="BV1018" s="48"/>
      <c r="BW1018" s="48"/>
      <c r="BX1018" s="48"/>
      <c r="BY1018" s="48"/>
      <c r="BZ1018" s="48"/>
    </row>
    <row r="1019" spans="1:78" ht="15.75" x14ac:dyDescent="0.25">
      <c r="A1019" s="20"/>
      <c r="B1019" s="47"/>
      <c r="C1019" s="51"/>
      <c r="D1019" s="51"/>
      <c r="E1019" s="51"/>
      <c r="F1019" s="48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8"/>
      <c r="Z1019" s="48"/>
      <c r="AA1019" s="48"/>
      <c r="AB1019" s="48"/>
      <c r="AC1019" s="48"/>
      <c r="AD1019" s="48"/>
      <c r="AE1019" s="48"/>
      <c r="AF1019" s="48"/>
      <c r="AG1019" s="48"/>
      <c r="AH1019" s="48"/>
      <c r="AI1019" s="48"/>
      <c r="AJ1019" s="48"/>
      <c r="AK1019" s="48"/>
      <c r="AL1019" s="48"/>
      <c r="AM1019" s="48"/>
      <c r="AN1019" s="48"/>
      <c r="AO1019" s="48"/>
      <c r="AP1019" s="48"/>
      <c r="AQ1019" s="48"/>
      <c r="AR1019" s="48"/>
      <c r="AS1019" s="48"/>
      <c r="AT1019" s="48"/>
      <c r="AU1019" s="48"/>
      <c r="AV1019" s="48"/>
      <c r="AW1019" s="48"/>
      <c r="AX1019" s="48"/>
      <c r="AY1019" s="48"/>
      <c r="AZ1019" s="48"/>
      <c r="BA1019" s="48"/>
      <c r="BB1019" s="48"/>
      <c r="BC1019" s="48"/>
      <c r="BD1019" s="48"/>
      <c r="BE1019" s="48"/>
      <c r="BF1019" s="48"/>
      <c r="BG1019" s="48"/>
      <c r="BH1019" s="48"/>
      <c r="BI1019" s="48"/>
      <c r="BJ1019" s="48"/>
      <c r="BK1019" s="48"/>
      <c r="BL1019" s="48"/>
      <c r="BM1019" s="48"/>
      <c r="BN1019" s="48"/>
      <c r="BO1019" s="48"/>
      <c r="BP1019" s="48"/>
      <c r="BQ1019" s="48"/>
      <c r="BR1019" s="48"/>
      <c r="BS1019" s="48"/>
      <c r="BT1019" s="48"/>
      <c r="BU1019" s="48"/>
      <c r="BV1019" s="48"/>
      <c r="BW1019" s="48"/>
      <c r="BX1019" s="48"/>
      <c r="BY1019" s="48"/>
      <c r="BZ1019" s="48"/>
    </row>
    <row r="1020" spans="1:78" ht="15.75" x14ac:dyDescent="0.25">
      <c r="A1020" s="20"/>
      <c r="B1020" s="47"/>
      <c r="C1020" s="51"/>
      <c r="D1020" s="51"/>
      <c r="E1020" s="51"/>
      <c r="F1020" s="48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8"/>
      <c r="Z1020" s="48"/>
      <c r="AA1020" s="48"/>
      <c r="AB1020" s="48"/>
      <c r="AC1020" s="48"/>
      <c r="AD1020" s="48"/>
      <c r="AE1020" s="48"/>
      <c r="AF1020" s="48"/>
      <c r="AG1020" s="48"/>
      <c r="AH1020" s="48"/>
      <c r="AI1020" s="48"/>
      <c r="AJ1020" s="48"/>
      <c r="AK1020" s="48"/>
      <c r="AL1020" s="48"/>
      <c r="AM1020" s="48"/>
      <c r="AN1020" s="48"/>
      <c r="AO1020" s="48"/>
      <c r="AP1020" s="48"/>
      <c r="AQ1020" s="48"/>
      <c r="AR1020" s="48"/>
      <c r="AS1020" s="48"/>
      <c r="AT1020" s="48"/>
      <c r="AU1020" s="48"/>
      <c r="AV1020" s="48"/>
      <c r="AW1020" s="48"/>
      <c r="AX1020" s="48"/>
      <c r="AY1020" s="48"/>
      <c r="AZ1020" s="48"/>
      <c r="BA1020" s="48"/>
      <c r="BB1020" s="48"/>
      <c r="BC1020" s="48"/>
      <c r="BD1020" s="48"/>
      <c r="BE1020" s="48"/>
      <c r="BF1020" s="48"/>
      <c r="BG1020" s="48"/>
      <c r="BH1020" s="48"/>
      <c r="BI1020" s="48"/>
      <c r="BJ1020" s="48"/>
      <c r="BK1020" s="48"/>
      <c r="BL1020" s="48"/>
      <c r="BM1020" s="48"/>
      <c r="BN1020" s="48"/>
      <c r="BO1020" s="48"/>
      <c r="BP1020" s="48"/>
      <c r="BQ1020" s="48"/>
      <c r="BR1020" s="48"/>
      <c r="BS1020" s="48"/>
      <c r="BT1020" s="48"/>
      <c r="BU1020" s="48"/>
      <c r="BV1020" s="48"/>
      <c r="BW1020" s="48"/>
      <c r="BX1020" s="48"/>
      <c r="BY1020" s="48"/>
      <c r="BZ1020" s="48"/>
    </row>
    <row r="1021" spans="1:78" ht="15.75" x14ac:dyDescent="0.25">
      <c r="A1021" s="20"/>
      <c r="B1021" s="47"/>
      <c r="C1021" s="51"/>
      <c r="D1021" s="51"/>
      <c r="E1021" s="51"/>
      <c r="F1021" s="48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8"/>
      <c r="Z1021" s="48"/>
      <c r="AA1021" s="48"/>
      <c r="AB1021" s="48"/>
      <c r="AC1021" s="48"/>
      <c r="AD1021" s="48"/>
      <c r="AE1021" s="48"/>
      <c r="AF1021" s="48"/>
      <c r="AG1021" s="48"/>
      <c r="AH1021" s="48"/>
      <c r="AI1021" s="48"/>
      <c r="AJ1021" s="48"/>
      <c r="AK1021" s="48"/>
      <c r="AL1021" s="48"/>
      <c r="AM1021" s="48"/>
      <c r="AN1021" s="48"/>
      <c r="AO1021" s="48"/>
      <c r="AP1021" s="48"/>
      <c r="AQ1021" s="48"/>
      <c r="AR1021" s="48"/>
      <c r="AS1021" s="48"/>
      <c r="AT1021" s="48"/>
      <c r="AU1021" s="48"/>
      <c r="AV1021" s="48"/>
      <c r="AW1021" s="48"/>
      <c r="AX1021" s="48"/>
      <c r="AY1021" s="48"/>
      <c r="AZ1021" s="48"/>
      <c r="BA1021" s="48"/>
      <c r="BB1021" s="48"/>
      <c r="BC1021" s="48"/>
      <c r="BD1021" s="48"/>
      <c r="BE1021" s="48"/>
      <c r="BF1021" s="48"/>
      <c r="BG1021" s="48"/>
      <c r="BH1021" s="48"/>
      <c r="BI1021" s="48"/>
      <c r="BJ1021" s="48"/>
      <c r="BK1021" s="48"/>
      <c r="BL1021" s="48"/>
      <c r="BM1021" s="48"/>
      <c r="BN1021" s="48"/>
      <c r="BO1021" s="48"/>
      <c r="BP1021" s="48"/>
      <c r="BQ1021" s="48"/>
      <c r="BR1021" s="48"/>
      <c r="BS1021" s="48"/>
      <c r="BT1021" s="48"/>
      <c r="BU1021" s="48"/>
      <c r="BV1021" s="48"/>
      <c r="BW1021" s="48"/>
      <c r="BX1021" s="48"/>
      <c r="BY1021" s="48"/>
      <c r="BZ1021" s="48"/>
    </row>
    <row r="1022" spans="1:78" ht="15.75" x14ac:dyDescent="0.25">
      <c r="A1022" s="20"/>
      <c r="B1022" s="47"/>
      <c r="C1022" s="51"/>
      <c r="D1022" s="51"/>
      <c r="E1022" s="51"/>
      <c r="F1022" s="48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8"/>
      <c r="Z1022" s="48"/>
      <c r="AA1022" s="48"/>
      <c r="AB1022" s="48"/>
      <c r="AC1022" s="48"/>
      <c r="AD1022" s="48"/>
      <c r="AE1022" s="48"/>
      <c r="AF1022" s="48"/>
      <c r="AG1022" s="48"/>
      <c r="AH1022" s="48"/>
      <c r="AI1022" s="48"/>
      <c r="AJ1022" s="48"/>
      <c r="AK1022" s="48"/>
      <c r="AL1022" s="48"/>
      <c r="AM1022" s="48"/>
      <c r="AN1022" s="48"/>
      <c r="AO1022" s="48"/>
      <c r="AP1022" s="48"/>
      <c r="AQ1022" s="48"/>
      <c r="AR1022" s="48"/>
      <c r="AS1022" s="48"/>
      <c r="AT1022" s="48"/>
      <c r="AU1022" s="48"/>
      <c r="AV1022" s="48"/>
      <c r="AW1022" s="48"/>
      <c r="AX1022" s="48"/>
      <c r="AY1022" s="48"/>
      <c r="AZ1022" s="48"/>
      <c r="BA1022" s="48"/>
      <c r="BB1022" s="48"/>
      <c r="BC1022" s="48"/>
      <c r="BD1022" s="48"/>
      <c r="BE1022" s="48"/>
      <c r="BF1022" s="48"/>
      <c r="BG1022" s="48"/>
      <c r="BH1022" s="48"/>
      <c r="BI1022" s="48"/>
      <c r="BJ1022" s="48"/>
      <c r="BK1022" s="48"/>
      <c r="BL1022" s="48"/>
      <c r="BM1022" s="48"/>
      <c r="BN1022" s="48"/>
      <c r="BO1022" s="48"/>
      <c r="BP1022" s="48"/>
      <c r="BQ1022" s="48"/>
      <c r="BR1022" s="48"/>
      <c r="BS1022" s="48"/>
      <c r="BT1022" s="48"/>
      <c r="BU1022" s="48"/>
      <c r="BV1022" s="48"/>
      <c r="BW1022" s="48"/>
      <c r="BX1022" s="48"/>
      <c r="BY1022" s="48"/>
      <c r="BZ1022" s="48"/>
    </row>
    <row r="1023" spans="1:78" ht="15.75" x14ac:dyDescent="0.25">
      <c r="A1023" s="20"/>
      <c r="B1023" s="47"/>
      <c r="C1023" s="51"/>
      <c r="D1023" s="51"/>
      <c r="E1023" s="51"/>
      <c r="F1023" s="48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8"/>
      <c r="Z1023" s="48"/>
      <c r="AA1023" s="48"/>
      <c r="AB1023" s="48"/>
      <c r="AC1023" s="48"/>
      <c r="AD1023" s="48"/>
      <c r="AE1023" s="48"/>
      <c r="AF1023" s="48"/>
      <c r="AG1023" s="48"/>
      <c r="AH1023" s="48"/>
      <c r="AI1023" s="48"/>
      <c r="AJ1023" s="48"/>
      <c r="AK1023" s="48"/>
      <c r="AL1023" s="48"/>
      <c r="AM1023" s="48"/>
      <c r="AN1023" s="48"/>
      <c r="AO1023" s="48"/>
      <c r="AP1023" s="48"/>
      <c r="AQ1023" s="48"/>
      <c r="AR1023" s="48"/>
      <c r="AS1023" s="48"/>
      <c r="AT1023" s="48"/>
      <c r="AU1023" s="48"/>
      <c r="AV1023" s="48"/>
      <c r="AW1023" s="48"/>
      <c r="AX1023" s="48"/>
      <c r="AY1023" s="48"/>
      <c r="AZ1023" s="48"/>
      <c r="BA1023" s="48"/>
      <c r="BB1023" s="48"/>
      <c r="BC1023" s="48"/>
      <c r="BD1023" s="48"/>
      <c r="BE1023" s="48"/>
      <c r="BF1023" s="48"/>
      <c r="BG1023" s="48"/>
      <c r="BH1023" s="48"/>
      <c r="BI1023" s="48"/>
      <c r="BJ1023" s="48"/>
      <c r="BK1023" s="48"/>
      <c r="BL1023" s="48"/>
      <c r="BM1023" s="48"/>
      <c r="BN1023" s="48"/>
      <c r="BO1023" s="48"/>
      <c r="BP1023" s="48"/>
      <c r="BQ1023" s="48"/>
      <c r="BR1023" s="48"/>
      <c r="BS1023" s="48"/>
      <c r="BT1023" s="48"/>
      <c r="BU1023" s="48"/>
      <c r="BV1023" s="48"/>
      <c r="BW1023" s="48"/>
      <c r="BX1023" s="48"/>
      <c r="BY1023" s="48"/>
      <c r="BZ1023" s="48"/>
    </row>
    <row r="1024" spans="1:78" ht="15.75" x14ac:dyDescent="0.25">
      <c r="A1024" s="20"/>
      <c r="B1024" s="47"/>
      <c r="C1024" s="51"/>
      <c r="D1024" s="51"/>
      <c r="E1024" s="51"/>
      <c r="F1024" s="48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8"/>
      <c r="Z1024" s="48"/>
      <c r="AA1024" s="48"/>
      <c r="AB1024" s="48"/>
      <c r="AC1024" s="48"/>
      <c r="AD1024" s="48"/>
      <c r="AE1024" s="48"/>
      <c r="AF1024" s="48"/>
      <c r="AG1024" s="48"/>
      <c r="AH1024" s="48"/>
      <c r="AI1024" s="48"/>
      <c r="AJ1024" s="48"/>
      <c r="AK1024" s="48"/>
      <c r="AL1024" s="48"/>
      <c r="AM1024" s="48"/>
      <c r="AN1024" s="48"/>
      <c r="AO1024" s="48"/>
      <c r="AP1024" s="48"/>
      <c r="AQ1024" s="48"/>
      <c r="AR1024" s="48"/>
      <c r="AS1024" s="48"/>
      <c r="AT1024" s="48"/>
      <c r="AU1024" s="48"/>
      <c r="AV1024" s="48"/>
      <c r="AW1024" s="48"/>
      <c r="AX1024" s="48"/>
      <c r="AY1024" s="48"/>
      <c r="AZ1024" s="48"/>
      <c r="BA1024" s="48"/>
      <c r="BB1024" s="48"/>
      <c r="BC1024" s="48"/>
      <c r="BD1024" s="48"/>
      <c r="BE1024" s="48"/>
      <c r="BF1024" s="48"/>
      <c r="BG1024" s="48"/>
      <c r="BH1024" s="48"/>
      <c r="BI1024" s="48"/>
      <c r="BJ1024" s="48"/>
      <c r="BK1024" s="48"/>
      <c r="BL1024" s="48"/>
      <c r="BM1024" s="48"/>
      <c r="BN1024" s="48"/>
      <c r="BO1024" s="48"/>
      <c r="BP1024" s="48"/>
      <c r="BQ1024" s="48"/>
      <c r="BR1024" s="48"/>
      <c r="BS1024" s="48"/>
      <c r="BT1024" s="48"/>
      <c r="BU1024" s="48"/>
      <c r="BV1024" s="48"/>
      <c r="BW1024" s="48"/>
      <c r="BX1024" s="48"/>
      <c r="BY1024" s="48"/>
      <c r="BZ1024" s="48"/>
    </row>
    <row r="1025" spans="1:78" ht="15.75" x14ac:dyDescent="0.25">
      <c r="A1025" s="20"/>
      <c r="B1025" s="47"/>
      <c r="C1025" s="51"/>
      <c r="D1025" s="51"/>
      <c r="E1025" s="51"/>
      <c r="F1025" s="48"/>
      <c r="G1025" s="42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8"/>
      <c r="Z1025" s="48"/>
      <c r="AA1025" s="48"/>
      <c r="AB1025" s="48"/>
      <c r="AC1025" s="48"/>
      <c r="AD1025" s="48"/>
      <c r="AE1025" s="48"/>
      <c r="AF1025" s="48"/>
      <c r="AG1025" s="48"/>
      <c r="AH1025" s="48"/>
      <c r="AI1025" s="48"/>
      <c r="AJ1025" s="48"/>
      <c r="AK1025" s="48"/>
      <c r="AL1025" s="48"/>
      <c r="AM1025" s="48"/>
      <c r="AN1025" s="48"/>
      <c r="AO1025" s="48"/>
      <c r="AP1025" s="48"/>
      <c r="AQ1025" s="48"/>
      <c r="AR1025" s="48"/>
      <c r="AS1025" s="48"/>
      <c r="AT1025" s="48"/>
      <c r="AU1025" s="48"/>
      <c r="AV1025" s="48"/>
      <c r="AW1025" s="48"/>
      <c r="AX1025" s="48"/>
      <c r="AY1025" s="48"/>
      <c r="AZ1025" s="48"/>
      <c r="BA1025" s="48"/>
      <c r="BB1025" s="48"/>
      <c r="BC1025" s="48"/>
      <c r="BD1025" s="48"/>
      <c r="BE1025" s="48"/>
      <c r="BF1025" s="48"/>
      <c r="BG1025" s="48"/>
      <c r="BH1025" s="48"/>
      <c r="BI1025" s="48"/>
      <c r="BJ1025" s="48"/>
      <c r="BK1025" s="48"/>
      <c r="BL1025" s="48"/>
      <c r="BM1025" s="48"/>
      <c r="BN1025" s="48"/>
      <c r="BO1025" s="48"/>
      <c r="BP1025" s="48"/>
      <c r="BQ1025" s="48"/>
      <c r="BR1025" s="48"/>
      <c r="BS1025" s="48"/>
      <c r="BT1025" s="48"/>
      <c r="BU1025" s="48"/>
      <c r="BV1025" s="48"/>
      <c r="BW1025" s="48"/>
      <c r="BX1025" s="48"/>
      <c r="BY1025" s="48"/>
      <c r="BZ1025" s="48"/>
    </row>
    <row r="1026" spans="1:78" ht="15.75" x14ac:dyDescent="0.25">
      <c r="A1026" s="20"/>
      <c r="B1026" s="47"/>
      <c r="C1026" s="51"/>
      <c r="D1026" s="51"/>
      <c r="E1026" s="51"/>
      <c r="F1026" s="48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8"/>
      <c r="Z1026" s="48"/>
      <c r="AA1026" s="48"/>
      <c r="AB1026" s="48"/>
      <c r="AC1026" s="48"/>
      <c r="AD1026" s="48"/>
      <c r="AE1026" s="48"/>
      <c r="AF1026" s="48"/>
      <c r="AG1026" s="48"/>
      <c r="AH1026" s="48"/>
      <c r="AI1026" s="48"/>
      <c r="AJ1026" s="48"/>
      <c r="AK1026" s="48"/>
      <c r="AL1026" s="48"/>
      <c r="AM1026" s="48"/>
      <c r="AN1026" s="48"/>
      <c r="AO1026" s="48"/>
      <c r="AP1026" s="48"/>
      <c r="AQ1026" s="48"/>
      <c r="AR1026" s="48"/>
      <c r="AS1026" s="48"/>
      <c r="AT1026" s="48"/>
      <c r="AU1026" s="48"/>
      <c r="AV1026" s="48"/>
      <c r="AW1026" s="48"/>
      <c r="AX1026" s="48"/>
      <c r="AY1026" s="48"/>
      <c r="AZ1026" s="48"/>
      <c r="BA1026" s="48"/>
      <c r="BB1026" s="48"/>
      <c r="BC1026" s="48"/>
      <c r="BD1026" s="48"/>
      <c r="BE1026" s="48"/>
      <c r="BF1026" s="48"/>
      <c r="BG1026" s="48"/>
      <c r="BH1026" s="48"/>
      <c r="BI1026" s="48"/>
      <c r="BJ1026" s="48"/>
      <c r="BK1026" s="48"/>
      <c r="BL1026" s="48"/>
      <c r="BM1026" s="48"/>
      <c r="BN1026" s="48"/>
      <c r="BO1026" s="48"/>
      <c r="BP1026" s="48"/>
      <c r="BQ1026" s="48"/>
      <c r="BR1026" s="48"/>
      <c r="BS1026" s="48"/>
      <c r="BT1026" s="48"/>
      <c r="BU1026" s="48"/>
      <c r="BV1026" s="48"/>
      <c r="BW1026" s="48"/>
      <c r="BX1026" s="48"/>
      <c r="BY1026" s="48"/>
      <c r="BZ1026" s="48"/>
    </row>
    <row r="1027" spans="1:78" ht="15.75" x14ac:dyDescent="0.25">
      <c r="A1027" s="20"/>
      <c r="B1027" s="47"/>
      <c r="C1027" s="51"/>
      <c r="D1027" s="51"/>
      <c r="E1027" s="51"/>
      <c r="F1027" s="48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8"/>
      <c r="Z1027" s="48"/>
      <c r="AA1027" s="48"/>
      <c r="AB1027" s="48"/>
      <c r="AC1027" s="48"/>
      <c r="AD1027" s="48"/>
      <c r="AE1027" s="48"/>
      <c r="AF1027" s="48"/>
      <c r="AG1027" s="48"/>
      <c r="AH1027" s="48"/>
      <c r="AI1027" s="48"/>
      <c r="AJ1027" s="48"/>
      <c r="AK1027" s="48"/>
      <c r="AL1027" s="48"/>
      <c r="AM1027" s="48"/>
      <c r="AN1027" s="48"/>
      <c r="AO1027" s="48"/>
      <c r="AP1027" s="48"/>
      <c r="AQ1027" s="48"/>
      <c r="AR1027" s="48"/>
      <c r="AS1027" s="48"/>
      <c r="AT1027" s="48"/>
      <c r="AU1027" s="48"/>
      <c r="AV1027" s="48"/>
      <c r="AW1027" s="48"/>
      <c r="AX1027" s="48"/>
      <c r="AY1027" s="48"/>
      <c r="AZ1027" s="48"/>
      <c r="BA1027" s="48"/>
      <c r="BB1027" s="48"/>
      <c r="BC1027" s="48"/>
      <c r="BD1027" s="48"/>
      <c r="BE1027" s="48"/>
      <c r="BF1027" s="48"/>
      <c r="BG1027" s="48"/>
      <c r="BH1027" s="48"/>
      <c r="BI1027" s="48"/>
      <c r="BJ1027" s="48"/>
      <c r="BK1027" s="48"/>
      <c r="BL1027" s="48"/>
      <c r="BM1027" s="48"/>
      <c r="BN1027" s="48"/>
      <c r="BO1027" s="48"/>
      <c r="BP1027" s="48"/>
      <c r="BQ1027" s="48"/>
      <c r="BR1027" s="48"/>
      <c r="BS1027" s="48"/>
      <c r="BT1027" s="48"/>
      <c r="BU1027" s="48"/>
      <c r="BV1027" s="48"/>
      <c r="BW1027" s="48"/>
      <c r="BX1027" s="48"/>
      <c r="BY1027" s="48"/>
      <c r="BZ1027" s="48"/>
    </row>
    <row r="1028" spans="1:78" ht="15.75" x14ac:dyDescent="0.25">
      <c r="A1028" s="20"/>
      <c r="B1028" s="47"/>
      <c r="C1028" s="51"/>
      <c r="D1028" s="51"/>
      <c r="E1028" s="51"/>
      <c r="F1028" s="48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8"/>
      <c r="Z1028" s="48"/>
      <c r="AA1028" s="48"/>
      <c r="AB1028" s="48"/>
      <c r="AC1028" s="48"/>
      <c r="AD1028" s="48"/>
      <c r="AE1028" s="48"/>
      <c r="AF1028" s="48"/>
      <c r="AG1028" s="48"/>
      <c r="AH1028" s="48"/>
      <c r="AI1028" s="48"/>
      <c r="AJ1028" s="48"/>
      <c r="AK1028" s="48"/>
      <c r="AL1028" s="48"/>
      <c r="AM1028" s="48"/>
      <c r="AN1028" s="48"/>
      <c r="AO1028" s="48"/>
      <c r="AP1028" s="48"/>
      <c r="AQ1028" s="48"/>
      <c r="AR1028" s="48"/>
      <c r="AS1028" s="48"/>
      <c r="AT1028" s="48"/>
      <c r="AU1028" s="48"/>
      <c r="AV1028" s="48"/>
      <c r="AW1028" s="48"/>
      <c r="AX1028" s="48"/>
      <c r="AY1028" s="48"/>
      <c r="AZ1028" s="48"/>
      <c r="BA1028" s="48"/>
      <c r="BB1028" s="48"/>
      <c r="BC1028" s="48"/>
      <c r="BD1028" s="48"/>
      <c r="BE1028" s="48"/>
      <c r="BF1028" s="48"/>
      <c r="BG1028" s="48"/>
      <c r="BH1028" s="48"/>
      <c r="BI1028" s="48"/>
      <c r="BJ1028" s="48"/>
      <c r="BK1028" s="48"/>
      <c r="BL1028" s="48"/>
      <c r="BM1028" s="48"/>
      <c r="BN1028" s="48"/>
      <c r="BO1028" s="48"/>
      <c r="BP1028" s="48"/>
      <c r="BQ1028" s="48"/>
      <c r="BR1028" s="48"/>
      <c r="BS1028" s="48"/>
      <c r="BT1028" s="48"/>
      <c r="BU1028" s="48"/>
      <c r="BV1028" s="48"/>
      <c r="BW1028" s="48"/>
      <c r="BX1028" s="48"/>
      <c r="BY1028" s="48"/>
      <c r="BZ1028" s="48"/>
    </row>
    <row r="1029" spans="1:78" ht="15.75" x14ac:dyDescent="0.25">
      <c r="A1029" s="20"/>
      <c r="B1029" s="47"/>
      <c r="C1029" s="51"/>
      <c r="D1029" s="51"/>
      <c r="E1029" s="51"/>
      <c r="F1029" s="48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8"/>
      <c r="Z1029" s="48"/>
      <c r="AA1029" s="48"/>
      <c r="AB1029" s="48"/>
      <c r="AC1029" s="48"/>
      <c r="AD1029" s="48"/>
      <c r="AE1029" s="48"/>
      <c r="AF1029" s="48"/>
      <c r="AG1029" s="48"/>
      <c r="AH1029" s="48"/>
      <c r="AI1029" s="48"/>
      <c r="AJ1029" s="48"/>
      <c r="AK1029" s="48"/>
      <c r="AL1029" s="48"/>
      <c r="AM1029" s="48"/>
      <c r="AN1029" s="48"/>
      <c r="AO1029" s="48"/>
      <c r="AP1029" s="48"/>
      <c r="AQ1029" s="48"/>
      <c r="AR1029" s="48"/>
      <c r="AS1029" s="48"/>
      <c r="AT1029" s="48"/>
      <c r="AU1029" s="48"/>
      <c r="AV1029" s="48"/>
      <c r="AW1029" s="48"/>
      <c r="AX1029" s="48"/>
      <c r="AY1029" s="48"/>
      <c r="AZ1029" s="48"/>
      <c r="BA1029" s="48"/>
      <c r="BB1029" s="48"/>
      <c r="BC1029" s="48"/>
      <c r="BD1029" s="48"/>
      <c r="BE1029" s="48"/>
      <c r="BF1029" s="48"/>
      <c r="BG1029" s="48"/>
      <c r="BH1029" s="48"/>
      <c r="BI1029" s="48"/>
      <c r="BJ1029" s="48"/>
      <c r="BK1029" s="48"/>
      <c r="BL1029" s="48"/>
      <c r="BM1029" s="48"/>
      <c r="BN1029" s="48"/>
      <c r="BO1029" s="48"/>
      <c r="BP1029" s="48"/>
      <c r="BQ1029" s="48"/>
      <c r="BR1029" s="48"/>
      <c r="BS1029" s="48"/>
      <c r="BT1029" s="48"/>
      <c r="BU1029" s="48"/>
      <c r="BV1029" s="48"/>
      <c r="BW1029" s="48"/>
      <c r="BX1029" s="48"/>
      <c r="BY1029" s="48"/>
      <c r="BZ1029" s="48"/>
    </row>
    <row r="1030" spans="1:78" ht="15.75" x14ac:dyDescent="0.25">
      <c r="A1030" s="20"/>
      <c r="B1030" s="47"/>
      <c r="C1030" s="51"/>
      <c r="D1030" s="51"/>
      <c r="E1030" s="51"/>
      <c r="F1030" s="48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8"/>
      <c r="Z1030" s="48"/>
      <c r="AA1030" s="48"/>
      <c r="AB1030" s="48"/>
      <c r="AC1030" s="48"/>
      <c r="AD1030" s="48"/>
      <c r="AE1030" s="48"/>
      <c r="AF1030" s="48"/>
      <c r="AG1030" s="48"/>
      <c r="AH1030" s="48"/>
      <c r="AI1030" s="48"/>
      <c r="AJ1030" s="48"/>
      <c r="AK1030" s="48"/>
      <c r="AL1030" s="48"/>
      <c r="AM1030" s="48"/>
      <c r="AN1030" s="48"/>
      <c r="AO1030" s="48"/>
      <c r="AP1030" s="48"/>
      <c r="AQ1030" s="48"/>
      <c r="AR1030" s="48"/>
      <c r="AS1030" s="48"/>
      <c r="AT1030" s="48"/>
      <c r="AU1030" s="48"/>
      <c r="AV1030" s="48"/>
      <c r="AW1030" s="48"/>
      <c r="AX1030" s="48"/>
      <c r="AY1030" s="48"/>
      <c r="AZ1030" s="48"/>
      <c r="BA1030" s="48"/>
      <c r="BB1030" s="48"/>
      <c r="BC1030" s="48"/>
      <c r="BD1030" s="48"/>
      <c r="BE1030" s="48"/>
      <c r="BF1030" s="48"/>
      <c r="BG1030" s="48"/>
      <c r="BH1030" s="48"/>
      <c r="BI1030" s="48"/>
      <c r="BJ1030" s="48"/>
      <c r="BK1030" s="48"/>
      <c r="BL1030" s="48"/>
      <c r="BM1030" s="48"/>
      <c r="BN1030" s="48"/>
      <c r="BO1030" s="48"/>
      <c r="BP1030" s="48"/>
      <c r="BQ1030" s="48"/>
      <c r="BR1030" s="48"/>
      <c r="BS1030" s="48"/>
      <c r="BT1030" s="48"/>
      <c r="BU1030" s="48"/>
      <c r="BV1030" s="48"/>
      <c r="BW1030" s="48"/>
      <c r="BX1030" s="48"/>
      <c r="BY1030" s="48"/>
      <c r="BZ1030" s="48"/>
    </row>
    <row r="1031" spans="1:78" ht="15.75" x14ac:dyDescent="0.25">
      <c r="A1031" s="20"/>
      <c r="B1031" s="47"/>
      <c r="C1031" s="51"/>
      <c r="D1031" s="51"/>
      <c r="E1031" s="51"/>
      <c r="F1031" s="48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8"/>
      <c r="Z1031" s="48"/>
      <c r="AA1031" s="48"/>
      <c r="AB1031" s="48"/>
      <c r="AC1031" s="48"/>
      <c r="AD1031" s="48"/>
      <c r="AE1031" s="48"/>
      <c r="AF1031" s="48"/>
      <c r="AG1031" s="48"/>
      <c r="AH1031" s="48"/>
      <c r="AI1031" s="48"/>
      <c r="AJ1031" s="48"/>
      <c r="AK1031" s="48"/>
      <c r="AL1031" s="48"/>
      <c r="AM1031" s="48"/>
      <c r="AN1031" s="48"/>
      <c r="AO1031" s="48"/>
      <c r="AP1031" s="48"/>
      <c r="AQ1031" s="48"/>
      <c r="AR1031" s="48"/>
      <c r="AS1031" s="48"/>
      <c r="AT1031" s="48"/>
      <c r="AU1031" s="48"/>
      <c r="AV1031" s="48"/>
      <c r="AW1031" s="48"/>
      <c r="AX1031" s="48"/>
      <c r="AY1031" s="48"/>
      <c r="AZ1031" s="48"/>
      <c r="BA1031" s="48"/>
      <c r="BB1031" s="48"/>
      <c r="BC1031" s="48"/>
      <c r="BD1031" s="48"/>
      <c r="BE1031" s="48"/>
      <c r="BF1031" s="48"/>
      <c r="BG1031" s="48"/>
      <c r="BH1031" s="48"/>
      <c r="BI1031" s="48"/>
      <c r="BJ1031" s="48"/>
      <c r="BK1031" s="48"/>
      <c r="BL1031" s="48"/>
      <c r="BM1031" s="48"/>
      <c r="BN1031" s="48"/>
      <c r="BO1031" s="48"/>
      <c r="BP1031" s="48"/>
      <c r="BQ1031" s="48"/>
      <c r="BR1031" s="48"/>
      <c r="BS1031" s="48"/>
      <c r="BT1031" s="48"/>
      <c r="BU1031" s="48"/>
      <c r="BV1031" s="48"/>
      <c r="BW1031" s="48"/>
      <c r="BX1031" s="48"/>
      <c r="BY1031" s="48"/>
      <c r="BZ1031" s="48"/>
    </row>
    <row r="1032" spans="1:78" ht="15.75" x14ac:dyDescent="0.25">
      <c r="A1032" s="20"/>
      <c r="B1032" s="47"/>
      <c r="C1032" s="51"/>
      <c r="D1032" s="51"/>
      <c r="E1032" s="51"/>
      <c r="F1032" s="48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8"/>
      <c r="Z1032" s="48"/>
      <c r="AA1032" s="48"/>
      <c r="AB1032" s="48"/>
      <c r="AC1032" s="48"/>
      <c r="AD1032" s="48"/>
      <c r="AE1032" s="48"/>
      <c r="AF1032" s="48"/>
      <c r="AG1032" s="48"/>
      <c r="AH1032" s="48"/>
      <c r="AI1032" s="48"/>
      <c r="AJ1032" s="48"/>
      <c r="AK1032" s="48"/>
      <c r="AL1032" s="48"/>
      <c r="AM1032" s="48"/>
      <c r="AN1032" s="48"/>
      <c r="AO1032" s="48"/>
      <c r="AP1032" s="48"/>
      <c r="AQ1032" s="48"/>
      <c r="AR1032" s="48"/>
      <c r="AS1032" s="48"/>
      <c r="AT1032" s="48"/>
      <c r="AU1032" s="48"/>
      <c r="AV1032" s="48"/>
      <c r="AW1032" s="48"/>
      <c r="AX1032" s="48"/>
      <c r="AY1032" s="48"/>
      <c r="AZ1032" s="48"/>
      <c r="BA1032" s="48"/>
      <c r="BB1032" s="48"/>
      <c r="BC1032" s="48"/>
      <c r="BD1032" s="48"/>
      <c r="BE1032" s="48"/>
      <c r="BF1032" s="48"/>
      <c r="BG1032" s="48"/>
      <c r="BH1032" s="48"/>
      <c r="BI1032" s="48"/>
      <c r="BJ1032" s="48"/>
      <c r="BK1032" s="48"/>
      <c r="BL1032" s="48"/>
      <c r="BM1032" s="48"/>
      <c r="BN1032" s="48"/>
      <c r="BO1032" s="48"/>
      <c r="BP1032" s="48"/>
      <c r="BQ1032" s="48"/>
      <c r="BR1032" s="48"/>
      <c r="BS1032" s="48"/>
      <c r="BT1032" s="48"/>
      <c r="BU1032" s="48"/>
      <c r="BV1032" s="48"/>
      <c r="BW1032" s="48"/>
      <c r="BX1032" s="48"/>
      <c r="BY1032" s="48"/>
      <c r="BZ1032" s="48"/>
    </row>
    <row r="1033" spans="1:78" ht="15.75" x14ac:dyDescent="0.25">
      <c r="A1033" s="20"/>
      <c r="B1033" s="47"/>
      <c r="C1033" s="51"/>
      <c r="D1033" s="51"/>
      <c r="E1033" s="51"/>
      <c r="F1033" s="48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8"/>
      <c r="Z1033" s="48"/>
      <c r="AA1033" s="48"/>
      <c r="AB1033" s="48"/>
      <c r="AC1033" s="48"/>
      <c r="AD1033" s="48"/>
      <c r="AE1033" s="48"/>
      <c r="AF1033" s="48"/>
      <c r="AG1033" s="48"/>
      <c r="AH1033" s="48"/>
      <c r="AI1033" s="48"/>
      <c r="AJ1033" s="48"/>
      <c r="AK1033" s="48"/>
      <c r="AL1033" s="48"/>
      <c r="AM1033" s="48"/>
      <c r="AN1033" s="48"/>
      <c r="AO1033" s="48"/>
      <c r="AP1033" s="48"/>
      <c r="AQ1033" s="48"/>
      <c r="AR1033" s="48"/>
      <c r="AS1033" s="48"/>
      <c r="AT1033" s="48"/>
      <c r="AU1033" s="48"/>
      <c r="AV1033" s="48"/>
      <c r="AW1033" s="48"/>
      <c r="AX1033" s="48"/>
      <c r="AY1033" s="48"/>
      <c r="AZ1033" s="48"/>
      <c r="BA1033" s="48"/>
      <c r="BB1033" s="48"/>
      <c r="BC1033" s="48"/>
      <c r="BD1033" s="48"/>
      <c r="BE1033" s="48"/>
      <c r="BF1033" s="48"/>
      <c r="BG1033" s="48"/>
      <c r="BH1033" s="48"/>
      <c r="BI1033" s="48"/>
      <c r="BJ1033" s="48"/>
      <c r="BK1033" s="48"/>
      <c r="BL1033" s="48"/>
      <c r="BM1033" s="48"/>
      <c r="BN1033" s="48"/>
      <c r="BO1033" s="48"/>
      <c r="BP1033" s="48"/>
      <c r="BQ1033" s="48"/>
      <c r="BR1033" s="48"/>
      <c r="BS1033" s="48"/>
      <c r="BT1033" s="48"/>
      <c r="BU1033" s="48"/>
      <c r="BV1033" s="48"/>
      <c r="BW1033" s="48"/>
      <c r="BX1033" s="48"/>
      <c r="BY1033" s="48"/>
      <c r="BZ1033" s="48"/>
    </row>
    <row r="1034" spans="1:78" ht="15.75" x14ac:dyDescent="0.25">
      <c r="A1034" s="20"/>
      <c r="B1034" s="47"/>
      <c r="C1034" s="51"/>
      <c r="D1034" s="51"/>
      <c r="E1034" s="51"/>
      <c r="F1034" s="48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8"/>
      <c r="Z1034" s="48"/>
      <c r="AA1034" s="48"/>
      <c r="AB1034" s="48"/>
      <c r="AC1034" s="48"/>
      <c r="AD1034" s="48"/>
      <c r="AE1034" s="48"/>
      <c r="AF1034" s="48"/>
      <c r="AG1034" s="48"/>
      <c r="AH1034" s="48"/>
      <c r="AI1034" s="48"/>
      <c r="AJ1034" s="48"/>
      <c r="AK1034" s="48"/>
      <c r="AL1034" s="48"/>
      <c r="AM1034" s="48"/>
      <c r="AN1034" s="48"/>
      <c r="AO1034" s="48"/>
      <c r="AP1034" s="48"/>
      <c r="AQ1034" s="48"/>
      <c r="AR1034" s="48"/>
      <c r="AS1034" s="48"/>
      <c r="AT1034" s="48"/>
      <c r="AU1034" s="48"/>
      <c r="AV1034" s="48"/>
      <c r="AW1034" s="48"/>
      <c r="AX1034" s="48"/>
      <c r="AY1034" s="48"/>
      <c r="AZ1034" s="48"/>
      <c r="BA1034" s="48"/>
      <c r="BB1034" s="48"/>
      <c r="BC1034" s="48"/>
      <c r="BD1034" s="48"/>
      <c r="BE1034" s="48"/>
      <c r="BF1034" s="48"/>
      <c r="BG1034" s="48"/>
      <c r="BH1034" s="48"/>
      <c r="BI1034" s="48"/>
      <c r="BJ1034" s="48"/>
      <c r="BK1034" s="48"/>
      <c r="BL1034" s="48"/>
      <c r="BM1034" s="48"/>
      <c r="BN1034" s="48"/>
      <c r="BO1034" s="48"/>
      <c r="BP1034" s="48"/>
      <c r="BQ1034" s="48"/>
      <c r="BR1034" s="48"/>
      <c r="BS1034" s="48"/>
      <c r="BT1034" s="48"/>
      <c r="BU1034" s="48"/>
      <c r="BV1034" s="48"/>
      <c r="BW1034" s="48"/>
      <c r="BX1034" s="48"/>
      <c r="BY1034" s="48"/>
      <c r="BZ1034" s="48"/>
    </row>
    <row r="1035" spans="1:78" ht="15.75" x14ac:dyDescent="0.25">
      <c r="A1035" s="20"/>
      <c r="B1035" s="47"/>
      <c r="C1035" s="51"/>
      <c r="D1035" s="51"/>
      <c r="E1035" s="51"/>
      <c r="F1035" s="48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8"/>
      <c r="Z1035" s="48"/>
      <c r="AA1035" s="48"/>
      <c r="AB1035" s="48"/>
      <c r="AC1035" s="48"/>
      <c r="AD1035" s="48"/>
      <c r="AE1035" s="48"/>
      <c r="AF1035" s="48"/>
      <c r="AG1035" s="48"/>
      <c r="AH1035" s="48"/>
      <c r="AI1035" s="48"/>
      <c r="AJ1035" s="48"/>
      <c r="AK1035" s="48"/>
      <c r="AL1035" s="48"/>
      <c r="AM1035" s="48"/>
      <c r="AN1035" s="48"/>
      <c r="AO1035" s="48"/>
      <c r="AP1035" s="48"/>
      <c r="AQ1035" s="48"/>
      <c r="AR1035" s="48"/>
      <c r="AS1035" s="48"/>
      <c r="AT1035" s="48"/>
      <c r="AU1035" s="48"/>
      <c r="AV1035" s="48"/>
      <c r="AW1035" s="48"/>
      <c r="AX1035" s="48"/>
      <c r="AY1035" s="48"/>
      <c r="AZ1035" s="48"/>
      <c r="BA1035" s="48"/>
      <c r="BB1035" s="48"/>
      <c r="BC1035" s="48"/>
      <c r="BD1035" s="48"/>
      <c r="BE1035" s="48"/>
      <c r="BF1035" s="48"/>
      <c r="BG1035" s="48"/>
      <c r="BH1035" s="48"/>
      <c r="BI1035" s="48"/>
      <c r="BJ1035" s="48"/>
      <c r="BK1035" s="48"/>
      <c r="BL1035" s="48"/>
      <c r="BM1035" s="48"/>
      <c r="BN1035" s="48"/>
      <c r="BO1035" s="48"/>
      <c r="BP1035" s="48"/>
      <c r="BQ1035" s="48"/>
      <c r="BR1035" s="48"/>
      <c r="BS1035" s="48"/>
      <c r="BT1035" s="48"/>
      <c r="BU1035" s="48"/>
      <c r="BV1035" s="48"/>
      <c r="BW1035" s="48"/>
      <c r="BX1035" s="48"/>
      <c r="BY1035" s="48"/>
      <c r="BZ1035" s="48"/>
    </row>
    <row r="1036" spans="1:78" ht="15.75" x14ac:dyDescent="0.25">
      <c r="A1036" s="20"/>
      <c r="B1036" s="47"/>
      <c r="C1036" s="51"/>
      <c r="D1036" s="51"/>
      <c r="E1036" s="51"/>
      <c r="F1036" s="48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8"/>
      <c r="Z1036" s="48"/>
      <c r="AA1036" s="48"/>
      <c r="AB1036" s="48"/>
      <c r="AC1036" s="48"/>
      <c r="AD1036" s="48"/>
      <c r="AE1036" s="48"/>
      <c r="AF1036" s="48"/>
      <c r="AG1036" s="48"/>
      <c r="AH1036" s="48"/>
      <c r="AI1036" s="48"/>
      <c r="AJ1036" s="48"/>
      <c r="AK1036" s="48"/>
      <c r="AL1036" s="48"/>
      <c r="AM1036" s="48"/>
      <c r="AN1036" s="48"/>
      <c r="AO1036" s="48"/>
      <c r="AP1036" s="48"/>
      <c r="AQ1036" s="48"/>
      <c r="AR1036" s="48"/>
      <c r="AS1036" s="48"/>
      <c r="AT1036" s="48"/>
      <c r="AU1036" s="48"/>
      <c r="AV1036" s="48"/>
      <c r="AW1036" s="48"/>
      <c r="AX1036" s="48"/>
      <c r="AY1036" s="48"/>
      <c r="AZ1036" s="48"/>
      <c r="BA1036" s="48"/>
      <c r="BB1036" s="48"/>
      <c r="BC1036" s="48"/>
      <c r="BD1036" s="48"/>
      <c r="BE1036" s="48"/>
      <c r="BF1036" s="48"/>
      <c r="BG1036" s="48"/>
      <c r="BH1036" s="48"/>
      <c r="BI1036" s="48"/>
      <c r="BJ1036" s="48"/>
      <c r="BK1036" s="48"/>
      <c r="BL1036" s="48"/>
      <c r="BM1036" s="48"/>
      <c r="BN1036" s="48"/>
      <c r="BO1036" s="48"/>
      <c r="BP1036" s="48"/>
      <c r="BQ1036" s="48"/>
      <c r="BR1036" s="48"/>
      <c r="BS1036" s="48"/>
      <c r="BT1036" s="48"/>
      <c r="BU1036" s="48"/>
      <c r="BV1036" s="48"/>
      <c r="BW1036" s="48"/>
      <c r="BX1036" s="48"/>
      <c r="BY1036" s="48"/>
      <c r="BZ1036" s="48"/>
    </row>
    <row r="1037" spans="1:78" ht="15.75" x14ac:dyDescent="0.25">
      <c r="A1037" s="20"/>
      <c r="B1037" s="47"/>
      <c r="C1037" s="51"/>
      <c r="D1037" s="51"/>
      <c r="E1037" s="51"/>
      <c r="F1037" s="48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8"/>
      <c r="Z1037" s="48"/>
      <c r="AA1037" s="48"/>
      <c r="AB1037" s="48"/>
      <c r="AC1037" s="48"/>
      <c r="AD1037" s="48"/>
      <c r="AE1037" s="48"/>
      <c r="AF1037" s="48"/>
      <c r="AG1037" s="48"/>
      <c r="AH1037" s="48"/>
      <c r="AI1037" s="48"/>
      <c r="AJ1037" s="48"/>
      <c r="AK1037" s="48"/>
      <c r="AL1037" s="48"/>
      <c r="AM1037" s="48"/>
      <c r="AN1037" s="48"/>
      <c r="AO1037" s="48"/>
      <c r="AP1037" s="48"/>
      <c r="AQ1037" s="48"/>
      <c r="AR1037" s="48"/>
      <c r="AS1037" s="48"/>
      <c r="AT1037" s="48"/>
      <c r="AU1037" s="48"/>
      <c r="AV1037" s="48"/>
      <c r="AW1037" s="48"/>
      <c r="AX1037" s="48"/>
      <c r="AY1037" s="48"/>
      <c r="AZ1037" s="48"/>
      <c r="BA1037" s="48"/>
      <c r="BB1037" s="48"/>
      <c r="BC1037" s="48"/>
      <c r="BD1037" s="48"/>
      <c r="BE1037" s="48"/>
      <c r="BF1037" s="48"/>
      <c r="BG1037" s="48"/>
      <c r="BH1037" s="48"/>
      <c r="BI1037" s="48"/>
      <c r="BJ1037" s="48"/>
      <c r="BK1037" s="48"/>
      <c r="BL1037" s="48"/>
      <c r="BM1037" s="48"/>
      <c r="BN1037" s="48"/>
      <c r="BO1037" s="48"/>
      <c r="BP1037" s="48"/>
      <c r="BQ1037" s="48"/>
      <c r="BR1037" s="48"/>
      <c r="BS1037" s="48"/>
      <c r="BT1037" s="48"/>
      <c r="BU1037" s="48"/>
      <c r="BV1037" s="48"/>
      <c r="BW1037" s="48"/>
      <c r="BX1037" s="48"/>
      <c r="BY1037" s="48"/>
      <c r="BZ1037" s="48"/>
    </row>
    <row r="1038" spans="1:78" ht="15.75" x14ac:dyDescent="0.25">
      <c r="A1038" s="20"/>
      <c r="B1038" s="47"/>
      <c r="C1038" s="51"/>
      <c r="D1038" s="51"/>
      <c r="E1038" s="51"/>
      <c r="F1038" s="48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8"/>
      <c r="Z1038" s="48"/>
      <c r="AA1038" s="48"/>
      <c r="AB1038" s="48"/>
      <c r="AC1038" s="48"/>
      <c r="AD1038" s="48"/>
      <c r="AE1038" s="48"/>
      <c r="AF1038" s="48"/>
      <c r="AG1038" s="48"/>
      <c r="AH1038" s="48"/>
      <c r="AI1038" s="48"/>
      <c r="AJ1038" s="48"/>
      <c r="AK1038" s="48"/>
      <c r="AL1038" s="48"/>
      <c r="AM1038" s="48"/>
      <c r="AN1038" s="48"/>
      <c r="AO1038" s="48"/>
      <c r="AP1038" s="48"/>
      <c r="AQ1038" s="48"/>
      <c r="AR1038" s="48"/>
      <c r="AS1038" s="48"/>
      <c r="AT1038" s="48"/>
      <c r="AU1038" s="48"/>
      <c r="AV1038" s="48"/>
      <c r="AW1038" s="48"/>
      <c r="AX1038" s="48"/>
      <c r="AY1038" s="48"/>
      <c r="AZ1038" s="48"/>
      <c r="BA1038" s="48"/>
      <c r="BB1038" s="48"/>
      <c r="BC1038" s="48"/>
      <c r="BD1038" s="48"/>
      <c r="BE1038" s="48"/>
      <c r="BF1038" s="48"/>
      <c r="BG1038" s="48"/>
      <c r="BH1038" s="48"/>
      <c r="BI1038" s="48"/>
      <c r="BJ1038" s="48"/>
      <c r="BK1038" s="48"/>
      <c r="BL1038" s="48"/>
      <c r="BM1038" s="48"/>
      <c r="BN1038" s="48"/>
      <c r="BO1038" s="48"/>
      <c r="BP1038" s="48"/>
      <c r="BQ1038" s="48"/>
      <c r="BR1038" s="48"/>
      <c r="BS1038" s="48"/>
      <c r="BT1038" s="48"/>
      <c r="BU1038" s="48"/>
      <c r="BV1038" s="48"/>
      <c r="BW1038" s="48"/>
      <c r="BX1038" s="48"/>
      <c r="BY1038" s="48"/>
      <c r="BZ1038" s="48"/>
    </row>
    <row r="1039" spans="1:78" ht="15.75" x14ac:dyDescent="0.25">
      <c r="A1039" s="20"/>
      <c r="B1039" s="47"/>
      <c r="C1039" s="51"/>
      <c r="D1039" s="51"/>
      <c r="E1039" s="51"/>
      <c r="F1039" s="48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8"/>
      <c r="Z1039" s="48"/>
      <c r="AA1039" s="48"/>
      <c r="AB1039" s="48"/>
      <c r="AC1039" s="48"/>
      <c r="AD1039" s="48"/>
      <c r="AE1039" s="48"/>
      <c r="AF1039" s="48"/>
      <c r="AG1039" s="48"/>
      <c r="AH1039" s="48"/>
      <c r="AI1039" s="48"/>
      <c r="AJ1039" s="48"/>
      <c r="AK1039" s="48"/>
      <c r="AL1039" s="48"/>
      <c r="AM1039" s="48"/>
      <c r="AN1039" s="48"/>
      <c r="AO1039" s="48"/>
      <c r="AP1039" s="48"/>
      <c r="AQ1039" s="48"/>
      <c r="AR1039" s="48"/>
      <c r="AS1039" s="48"/>
      <c r="AT1039" s="48"/>
      <c r="AU1039" s="48"/>
      <c r="AV1039" s="48"/>
      <c r="AW1039" s="48"/>
      <c r="AX1039" s="48"/>
      <c r="AY1039" s="48"/>
      <c r="AZ1039" s="48"/>
      <c r="BA1039" s="48"/>
      <c r="BB1039" s="48"/>
      <c r="BC1039" s="48"/>
      <c r="BD1039" s="48"/>
      <c r="BE1039" s="48"/>
      <c r="BF1039" s="48"/>
      <c r="BG1039" s="48"/>
      <c r="BH1039" s="48"/>
      <c r="BI1039" s="48"/>
      <c r="BJ1039" s="48"/>
      <c r="BK1039" s="48"/>
      <c r="BL1039" s="48"/>
      <c r="BM1039" s="48"/>
      <c r="BN1039" s="48"/>
      <c r="BO1039" s="48"/>
      <c r="BP1039" s="48"/>
      <c r="BQ1039" s="48"/>
      <c r="BR1039" s="48"/>
      <c r="BS1039" s="48"/>
      <c r="BT1039" s="48"/>
      <c r="BU1039" s="48"/>
      <c r="BV1039" s="48"/>
      <c r="BW1039" s="48"/>
      <c r="BX1039" s="48"/>
      <c r="BY1039" s="48"/>
      <c r="BZ1039" s="48"/>
    </row>
    <row r="1040" spans="1:78" ht="15.75" x14ac:dyDescent="0.25">
      <c r="A1040" s="20"/>
      <c r="B1040" s="47"/>
      <c r="C1040" s="51"/>
      <c r="D1040" s="51"/>
      <c r="E1040" s="51"/>
      <c r="F1040" s="48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8"/>
      <c r="Z1040" s="48"/>
      <c r="AA1040" s="48"/>
      <c r="AB1040" s="48"/>
      <c r="AC1040" s="48"/>
      <c r="AD1040" s="48"/>
      <c r="AE1040" s="48"/>
      <c r="AF1040" s="48"/>
      <c r="AG1040" s="48"/>
      <c r="AH1040" s="48"/>
      <c r="AI1040" s="48"/>
      <c r="AJ1040" s="48"/>
      <c r="AK1040" s="48"/>
      <c r="AL1040" s="48"/>
      <c r="AM1040" s="48"/>
      <c r="AN1040" s="48"/>
      <c r="AO1040" s="48"/>
      <c r="AP1040" s="48"/>
      <c r="AQ1040" s="48"/>
      <c r="AR1040" s="48"/>
      <c r="AS1040" s="48"/>
      <c r="AT1040" s="48"/>
      <c r="AU1040" s="48"/>
      <c r="AV1040" s="48"/>
      <c r="AW1040" s="48"/>
      <c r="AX1040" s="48"/>
      <c r="AY1040" s="48"/>
      <c r="AZ1040" s="48"/>
      <c r="BA1040" s="48"/>
      <c r="BB1040" s="48"/>
      <c r="BC1040" s="48"/>
      <c r="BD1040" s="48"/>
      <c r="BE1040" s="48"/>
      <c r="BF1040" s="48"/>
      <c r="BG1040" s="48"/>
      <c r="BH1040" s="48"/>
      <c r="BI1040" s="48"/>
      <c r="BJ1040" s="48"/>
      <c r="BK1040" s="48"/>
      <c r="BL1040" s="48"/>
      <c r="BM1040" s="48"/>
      <c r="BN1040" s="48"/>
      <c r="BO1040" s="48"/>
      <c r="BP1040" s="48"/>
      <c r="BQ1040" s="48"/>
      <c r="BR1040" s="48"/>
      <c r="BS1040" s="48"/>
      <c r="BT1040" s="48"/>
      <c r="BU1040" s="48"/>
      <c r="BV1040" s="48"/>
      <c r="BW1040" s="48"/>
      <c r="BX1040" s="48"/>
      <c r="BY1040" s="48"/>
      <c r="BZ1040" s="48"/>
    </row>
    <row r="1041" spans="1:78" ht="15.75" x14ac:dyDescent="0.25">
      <c r="A1041" s="20"/>
      <c r="B1041" s="47"/>
      <c r="C1041" s="51"/>
      <c r="D1041" s="51"/>
      <c r="E1041" s="51"/>
      <c r="F1041" s="48"/>
      <c r="G1041" s="42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8"/>
      <c r="Z1041" s="48"/>
      <c r="AA1041" s="48"/>
      <c r="AB1041" s="48"/>
      <c r="AC1041" s="48"/>
      <c r="AD1041" s="48"/>
      <c r="AE1041" s="48"/>
      <c r="AF1041" s="48"/>
      <c r="AG1041" s="48"/>
      <c r="AH1041" s="48"/>
      <c r="AI1041" s="48"/>
      <c r="AJ1041" s="48"/>
      <c r="AK1041" s="48"/>
      <c r="AL1041" s="48"/>
      <c r="AM1041" s="48"/>
      <c r="AN1041" s="48"/>
      <c r="AO1041" s="48"/>
      <c r="AP1041" s="48"/>
      <c r="AQ1041" s="48"/>
      <c r="AR1041" s="48"/>
      <c r="AS1041" s="48"/>
      <c r="AT1041" s="48"/>
      <c r="AU1041" s="48"/>
      <c r="AV1041" s="48"/>
      <c r="AW1041" s="48"/>
      <c r="AX1041" s="48"/>
      <c r="AY1041" s="48"/>
      <c r="AZ1041" s="48"/>
      <c r="BA1041" s="48"/>
      <c r="BB1041" s="48"/>
      <c r="BC1041" s="48"/>
      <c r="BD1041" s="48"/>
      <c r="BE1041" s="48"/>
      <c r="BF1041" s="48"/>
      <c r="BG1041" s="48"/>
      <c r="BH1041" s="48"/>
      <c r="BI1041" s="48"/>
      <c r="BJ1041" s="48"/>
      <c r="BK1041" s="48"/>
      <c r="BL1041" s="48"/>
      <c r="BM1041" s="48"/>
      <c r="BN1041" s="48"/>
      <c r="BO1041" s="48"/>
      <c r="BP1041" s="48"/>
      <c r="BQ1041" s="48"/>
      <c r="BR1041" s="48"/>
      <c r="BS1041" s="48"/>
      <c r="BT1041" s="48"/>
      <c r="BU1041" s="48"/>
      <c r="BV1041" s="48"/>
      <c r="BW1041" s="48"/>
      <c r="BX1041" s="48"/>
      <c r="BY1041" s="48"/>
      <c r="BZ1041" s="48"/>
    </row>
    <row r="1042" spans="1:78" ht="15.75" x14ac:dyDescent="0.25">
      <c r="A1042" s="20"/>
      <c r="B1042" s="47"/>
      <c r="C1042" s="49"/>
      <c r="D1042" s="49"/>
      <c r="E1042" s="49"/>
      <c r="F1042" s="48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8"/>
      <c r="Z1042" s="48"/>
      <c r="AA1042" s="48"/>
      <c r="AB1042" s="48"/>
      <c r="AC1042" s="48"/>
      <c r="AD1042" s="48"/>
      <c r="AE1042" s="48"/>
      <c r="AF1042" s="48"/>
      <c r="AG1042" s="48"/>
      <c r="AH1042" s="48"/>
      <c r="AI1042" s="48"/>
      <c r="AJ1042" s="48"/>
      <c r="AK1042" s="48"/>
      <c r="AL1042" s="48"/>
      <c r="AM1042" s="48"/>
      <c r="AN1042" s="48"/>
      <c r="AO1042" s="48"/>
      <c r="AP1042" s="48"/>
      <c r="AQ1042" s="48"/>
      <c r="AR1042" s="48"/>
      <c r="AS1042" s="48"/>
      <c r="AT1042" s="48"/>
      <c r="AU1042" s="48"/>
      <c r="AV1042" s="48"/>
      <c r="AW1042" s="48"/>
      <c r="AX1042" s="48"/>
      <c r="AY1042" s="48"/>
      <c r="AZ1042" s="48"/>
      <c r="BA1042" s="48"/>
      <c r="BB1042" s="48"/>
      <c r="BC1042" s="48"/>
      <c r="BD1042" s="48"/>
      <c r="BE1042" s="48"/>
      <c r="BF1042" s="48"/>
      <c r="BG1042" s="48"/>
      <c r="BH1042" s="48"/>
      <c r="BI1042" s="48"/>
      <c r="BJ1042" s="48"/>
      <c r="BK1042" s="48"/>
      <c r="BL1042" s="48"/>
      <c r="BM1042" s="48"/>
      <c r="BN1042" s="48"/>
      <c r="BO1042" s="48"/>
      <c r="BP1042" s="48"/>
      <c r="BQ1042" s="48"/>
      <c r="BR1042" s="48"/>
      <c r="BS1042" s="48"/>
      <c r="BT1042" s="48"/>
      <c r="BU1042" s="48"/>
      <c r="BV1042" s="48"/>
      <c r="BW1042" s="48"/>
      <c r="BX1042" s="48"/>
      <c r="BY1042" s="48"/>
      <c r="BZ1042" s="48"/>
    </row>
    <row r="1043" spans="1:78" ht="15.75" x14ac:dyDescent="0.25">
      <c r="A1043" s="20"/>
      <c r="B1043" s="47"/>
      <c r="C1043" s="49"/>
      <c r="D1043" s="49"/>
      <c r="E1043" s="49"/>
      <c r="F1043" s="48"/>
      <c r="G1043" s="42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8"/>
      <c r="Z1043" s="48"/>
      <c r="AA1043" s="48"/>
      <c r="AB1043" s="48"/>
      <c r="AC1043" s="48"/>
      <c r="AD1043" s="48"/>
      <c r="AE1043" s="48"/>
      <c r="AF1043" s="48"/>
      <c r="AG1043" s="48"/>
      <c r="AH1043" s="48"/>
      <c r="AI1043" s="48"/>
      <c r="AJ1043" s="48"/>
      <c r="AK1043" s="48"/>
      <c r="AL1043" s="48"/>
      <c r="AM1043" s="48"/>
      <c r="AN1043" s="48"/>
      <c r="AO1043" s="48"/>
      <c r="AP1043" s="48"/>
      <c r="AQ1043" s="48"/>
      <c r="AR1043" s="48"/>
      <c r="AS1043" s="48"/>
      <c r="AT1043" s="48"/>
      <c r="AU1043" s="48"/>
      <c r="AV1043" s="48"/>
      <c r="AW1043" s="48"/>
      <c r="AX1043" s="48"/>
      <c r="AY1043" s="48"/>
      <c r="AZ1043" s="48"/>
      <c r="BA1043" s="48"/>
      <c r="BB1043" s="48"/>
      <c r="BC1043" s="48"/>
      <c r="BD1043" s="48"/>
      <c r="BE1043" s="48"/>
      <c r="BF1043" s="48"/>
      <c r="BG1043" s="48"/>
      <c r="BH1043" s="48"/>
      <c r="BI1043" s="48"/>
      <c r="BJ1043" s="48"/>
      <c r="BK1043" s="48"/>
      <c r="BL1043" s="48"/>
      <c r="BM1043" s="48"/>
      <c r="BN1043" s="48"/>
      <c r="BO1043" s="48"/>
      <c r="BP1043" s="48"/>
      <c r="BQ1043" s="48"/>
      <c r="BR1043" s="48"/>
      <c r="BS1043" s="48"/>
      <c r="BT1043" s="48"/>
      <c r="BU1043" s="48"/>
      <c r="BV1043" s="48"/>
      <c r="BW1043" s="48"/>
      <c r="BX1043" s="48"/>
      <c r="BY1043" s="48"/>
      <c r="BZ1043" s="48"/>
    </row>
    <row r="1044" spans="1:78" ht="15.75" x14ac:dyDescent="0.25">
      <c r="A1044" s="20"/>
      <c r="B1044" s="47"/>
      <c r="C1044" s="49"/>
      <c r="D1044" s="49"/>
      <c r="E1044" s="49"/>
      <c r="F1044" s="48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8"/>
      <c r="Z1044" s="48"/>
      <c r="AA1044" s="48"/>
      <c r="AB1044" s="48"/>
      <c r="AC1044" s="48"/>
      <c r="AD1044" s="48"/>
      <c r="AE1044" s="48"/>
      <c r="AF1044" s="48"/>
      <c r="AG1044" s="48"/>
      <c r="AH1044" s="48"/>
      <c r="AI1044" s="48"/>
      <c r="AJ1044" s="48"/>
      <c r="AK1044" s="48"/>
      <c r="AL1044" s="48"/>
      <c r="AM1044" s="48"/>
      <c r="AN1044" s="48"/>
      <c r="AO1044" s="48"/>
      <c r="AP1044" s="48"/>
      <c r="AQ1044" s="48"/>
      <c r="AR1044" s="48"/>
      <c r="AS1044" s="48"/>
      <c r="AT1044" s="48"/>
      <c r="AU1044" s="48"/>
      <c r="AV1044" s="48"/>
      <c r="AW1044" s="48"/>
      <c r="AX1044" s="48"/>
      <c r="AY1044" s="48"/>
      <c r="AZ1044" s="48"/>
      <c r="BA1044" s="48"/>
      <c r="BB1044" s="48"/>
      <c r="BC1044" s="48"/>
      <c r="BD1044" s="48"/>
      <c r="BE1044" s="48"/>
      <c r="BF1044" s="48"/>
      <c r="BG1044" s="48"/>
      <c r="BH1044" s="48"/>
      <c r="BI1044" s="48"/>
      <c r="BJ1044" s="48"/>
      <c r="BK1044" s="48"/>
      <c r="BL1044" s="48"/>
      <c r="BM1044" s="48"/>
      <c r="BN1044" s="48"/>
      <c r="BO1044" s="48"/>
      <c r="BP1044" s="48"/>
      <c r="BQ1044" s="48"/>
      <c r="BR1044" s="48"/>
      <c r="BS1044" s="48"/>
      <c r="BT1044" s="48"/>
      <c r="BU1044" s="48"/>
      <c r="BV1044" s="48"/>
      <c r="BW1044" s="48"/>
      <c r="BX1044" s="48"/>
      <c r="BY1044" s="48"/>
      <c r="BZ1044" s="48"/>
    </row>
    <row r="1045" spans="1:78" ht="15.75" x14ac:dyDescent="0.25">
      <c r="A1045" s="20"/>
      <c r="B1045" s="47"/>
      <c r="C1045" s="49"/>
      <c r="D1045" s="49"/>
      <c r="E1045" s="49"/>
      <c r="F1045" s="48"/>
      <c r="G1045" s="42"/>
      <c r="H1045" s="42"/>
      <c r="I1045" s="42"/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8"/>
      <c r="Z1045" s="48"/>
      <c r="AA1045" s="48"/>
      <c r="AB1045" s="48"/>
      <c r="AC1045" s="48"/>
      <c r="AD1045" s="48"/>
      <c r="AE1045" s="48"/>
      <c r="AF1045" s="48"/>
      <c r="AG1045" s="48"/>
      <c r="AH1045" s="48"/>
      <c r="AI1045" s="48"/>
      <c r="AJ1045" s="48"/>
      <c r="AK1045" s="48"/>
      <c r="AL1045" s="48"/>
      <c r="AM1045" s="48"/>
      <c r="AN1045" s="48"/>
      <c r="AO1045" s="48"/>
      <c r="AP1045" s="48"/>
      <c r="AQ1045" s="48"/>
      <c r="AR1045" s="48"/>
      <c r="AS1045" s="48"/>
      <c r="AT1045" s="48"/>
      <c r="AU1045" s="48"/>
      <c r="AV1045" s="48"/>
      <c r="AW1045" s="48"/>
      <c r="AX1045" s="48"/>
      <c r="AY1045" s="48"/>
      <c r="AZ1045" s="48"/>
      <c r="BA1045" s="48"/>
      <c r="BB1045" s="48"/>
      <c r="BC1045" s="48"/>
      <c r="BD1045" s="48"/>
      <c r="BE1045" s="48"/>
      <c r="BF1045" s="48"/>
      <c r="BG1045" s="48"/>
      <c r="BH1045" s="48"/>
      <c r="BI1045" s="48"/>
      <c r="BJ1045" s="48"/>
      <c r="BK1045" s="48"/>
      <c r="BL1045" s="48"/>
      <c r="BM1045" s="48"/>
      <c r="BN1045" s="48"/>
      <c r="BO1045" s="48"/>
      <c r="BP1045" s="48"/>
      <c r="BQ1045" s="48"/>
      <c r="BR1045" s="48"/>
      <c r="BS1045" s="48"/>
      <c r="BT1045" s="48"/>
      <c r="BU1045" s="48"/>
      <c r="BV1045" s="48"/>
      <c r="BW1045" s="48"/>
      <c r="BX1045" s="48"/>
      <c r="BY1045" s="48"/>
      <c r="BZ1045" s="48"/>
    </row>
    <row r="1046" spans="1:78" ht="15.75" x14ac:dyDescent="0.25">
      <c r="A1046" s="20"/>
      <c r="B1046" s="47"/>
      <c r="C1046" s="49"/>
      <c r="D1046" s="49"/>
      <c r="E1046" s="49"/>
      <c r="F1046" s="48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8"/>
      <c r="Z1046" s="48"/>
      <c r="AA1046" s="48"/>
      <c r="AB1046" s="48"/>
      <c r="AC1046" s="48"/>
      <c r="AD1046" s="48"/>
      <c r="AE1046" s="48"/>
      <c r="AF1046" s="48"/>
      <c r="AG1046" s="48"/>
      <c r="AH1046" s="48"/>
      <c r="AI1046" s="48"/>
      <c r="AJ1046" s="48"/>
      <c r="AK1046" s="48"/>
      <c r="AL1046" s="48"/>
      <c r="AM1046" s="48"/>
      <c r="AN1046" s="48"/>
      <c r="AO1046" s="48"/>
      <c r="AP1046" s="48"/>
      <c r="AQ1046" s="48"/>
      <c r="AR1046" s="48"/>
      <c r="AS1046" s="48"/>
      <c r="AT1046" s="48"/>
      <c r="AU1046" s="48"/>
      <c r="AV1046" s="48"/>
      <c r="AW1046" s="48"/>
      <c r="AX1046" s="48"/>
      <c r="AY1046" s="48"/>
      <c r="AZ1046" s="48"/>
      <c r="BA1046" s="48"/>
      <c r="BB1046" s="48"/>
      <c r="BC1046" s="48"/>
      <c r="BD1046" s="48"/>
      <c r="BE1046" s="48"/>
      <c r="BF1046" s="48"/>
      <c r="BG1046" s="48"/>
      <c r="BH1046" s="48"/>
      <c r="BI1046" s="48"/>
      <c r="BJ1046" s="48"/>
      <c r="BK1046" s="48"/>
      <c r="BL1046" s="48"/>
      <c r="BM1046" s="48"/>
      <c r="BN1046" s="48"/>
      <c r="BO1046" s="48"/>
      <c r="BP1046" s="48"/>
      <c r="BQ1046" s="48"/>
      <c r="BR1046" s="48"/>
      <c r="BS1046" s="48"/>
      <c r="BT1046" s="48"/>
      <c r="BU1046" s="48"/>
      <c r="BV1046" s="48"/>
      <c r="BW1046" s="48"/>
      <c r="BX1046" s="48"/>
      <c r="BY1046" s="48"/>
      <c r="BZ1046" s="48"/>
    </row>
    <row r="1047" spans="1:78" ht="15.75" x14ac:dyDescent="0.25">
      <c r="A1047" s="20"/>
      <c r="B1047" s="47"/>
      <c r="C1047" s="49"/>
      <c r="D1047" s="49"/>
      <c r="E1047" s="49"/>
      <c r="F1047" s="48"/>
      <c r="G1047" s="42"/>
      <c r="H1047" s="42"/>
      <c r="I1047" s="42"/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8"/>
      <c r="Z1047" s="48"/>
      <c r="AA1047" s="48"/>
      <c r="AB1047" s="48"/>
      <c r="AC1047" s="48"/>
      <c r="AD1047" s="48"/>
      <c r="AE1047" s="48"/>
      <c r="AF1047" s="48"/>
      <c r="AG1047" s="48"/>
      <c r="AH1047" s="48"/>
      <c r="AI1047" s="48"/>
      <c r="AJ1047" s="48"/>
      <c r="AK1047" s="48"/>
      <c r="AL1047" s="48"/>
      <c r="AM1047" s="48"/>
      <c r="AN1047" s="48"/>
      <c r="AO1047" s="48"/>
      <c r="AP1047" s="48"/>
      <c r="AQ1047" s="48"/>
      <c r="AR1047" s="48"/>
      <c r="AS1047" s="48"/>
      <c r="AT1047" s="48"/>
      <c r="AU1047" s="48"/>
      <c r="AV1047" s="48"/>
      <c r="AW1047" s="48"/>
      <c r="AX1047" s="48"/>
      <c r="AY1047" s="48"/>
      <c r="AZ1047" s="48"/>
      <c r="BA1047" s="48"/>
      <c r="BB1047" s="48"/>
      <c r="BC1047" s="48"/>
      <c r="BD1047" s="48"/>
      <c r="BE1047" s="48"/>
      <c r="BF1047" s="48"/>
      <c r="BG1047" s="48"/>
      <c r="BH1047" s="48"/>
      <c r="BI1047" s="48"/>
      <c r="BJ1047" s="48"/>
      <c r="BK1047" s="48"/>
      <c r="BL1047" s="48"/>
      <c r="BM1047" s="48"/>
      <c r="BN1047" s="48"/>
      <c r="BO1047" s="48"/>
      <c r="BP1047" s="48"/>
      <c r="BQ1047" s="48"/>
      <c r="BR1047" s="48"/>
      <c r="BS1047" s="48"/>
      <c r="BT1047" s="48"/>
      <c r="BU1047" s="48"/>
      <c r="BV1047" s="48"/>
      <c r="BW1047" s="48"/>
      <c r="BX1047" s="48"/>
      <c r="BY1047" s="48"/>
      <c r="BZ1047" s="48"/>
    </row>
    <row r="1048" spans="1:78" ht="15.75" x14ac:dyDescent="0.25">
      <c r="A1048" s="20"/>
      <c r="B1048" s="47"/>
      <c r="C1048" s="49"/>
      <c r="D1048" s="49"/>
      <c r="E1048" s="49"/>
      <c r="F1048" s="48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8"/>
      <c r="Z1048" s="48"/>
      <c r="AA1048" s="48"/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8"/>
      <c r="AN1048" s="48"/>
      <c r="AO1048" s="48"/>
      <c r="AP1048" s="48"/>
      <c r="AQ1048" s="48"/>
      <c r="AR1048" s="48"/>
      <c r="AS1048" s="48"/>
      <c r="AT1048" s="48"/>
      <c r="AU1048" s="48"/>
      <c r="AV1048" s="48"/>
      <c r="AW1048" s="48"/>
      <c r="AX1048" s="48"/>
      <c r="AY1048" s="48"/>
      <c r="AZ1048" s="48"/>
      <c r="BA1048" s="48"/>
      <c r="BB1048" s="48"/>
      <c r="BC1048" s="48"/>
      <c r="BD1048" s="48"/>
      <c r="BE1048" s="48"/>
      <c r="BF1048" s="48"/>
      <c r="BG1048" s="48"/>
      <c r="BH1048" s="48"/>
      <c r="BI1048" s="48"/>
      <c r="BJ1048" s="48"/>
      <c r="BK1048" s="48"/>
      <c r="BL1048" s="48"/>
      <c r="BM1048" s="48"/>
      <c r="BN1048" s="48"/>
      <c r="BO1048" s="48"/>
      <c r="BP1048" s="48"/>
      <c r="BQ1048" s="48"/>
      <c r="BR1048" s="48"/>
      <c r="BS1048" s="48"/>
      <c r="BT1048" s="48"/>
      <c r="BU1048" s="48"/>
      <c r="BV1048" s="48"/>
      <c r="BW1048" s="48"/>
      <c r="BX1048" s="48"/>
      <c r="BY1048" s="48"/>
      <c r="BZ1048" s="48"/>
    </row>
    <row r="1049" spans="1:78" ht="15.75" x14ac:dyDescent="0.25">
      <c r="A1049" s="20"/>
      <c r="B1049" s="47"/>
      <c r="C1049" s="49"/>
      <c r="D1049" s="49"/>
      <c r="E1049" s="49"/>
      <c r="F1049" s="48"/>
      <c r="G1049" s="42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8"/>
      <c r="Z1049" s="48"/>
      <c r="AA1049" s="48"/>
      <c r="AB1049" s="48"/>
      <c r="AC1049" s="48"/>
      <c r="AD1049" s="48"/>
      <c r="AE1049" s="48"/>
      <c r="AF1049" s="48"/>
      <c r="AG1049" s="48"/>
      <c r="AH1049" s="48"/>
      <c r="AI1049" s="48"/>
      <c r="AJ1049" s="48"/>
      <c r="AK1049" s="48"/>
      <c r="AL1049" s="48"/>
      <c r="AM1049" s="48"/>
      <c r="AN1049" s="48"/>
      <c r="AO1049" s="48"/>
      <c r="AP1049" s="48"/>
      <c r="AQ1049" s="48"/>
      <c r="AR1049" s="48"/>
      <c r="AS1049" s="48"/>
      <c r="AT1049" s="48"/>
      <c r="AU1049" s="48"/>
      <c r="AV1049" s="48"/>
      <c r="AW1049" s="48"/>
      <c r="AX1049" s="48"/>
      <c r="AY1049" s="48"/>
      <c r="AZ1049" s="48"/>
      <c r="BA1049" s="48"/>
      <c r="BB1049" s="48"/>
      <c r="BC1049" s="48"/>
      <c r="BD1049" s="48"/>
      <c r="BE1049" s="48"/>
      <c r="BF1049" s="48"/>
      <c r="BG1049" s="48"/>
      <c r="BH1049" s="48"/>
      <c r="BI1049" s="48"/>
      <c r="BJ1049" s="48"/>
      <c r="BK1049" s="48"/>
      <c r="BL1049" s="48"/>
      <c r="BM1049" s="48"/>
      <c r="BN1049" s="48"/>
      <c r="BO1049" s="48"/>
      <c r="BP1049" s="48"/>
      <c r="BQ1049" s="48"/>
      <c r="BR1049" s="48"/>
      <c r="BS1049" s="48"/>
      <c r="BT1049" s="48"/>
      <c r="BU1049" s="48"/>
      <c r="BV1049" s="48"/>
      <c r="BW1049" s="48"/>
      <c r="BX1049" s="48"/>
      <c r="BY1049" s="48"/>
      <c r="BZ1049" s="48"/>
    </row>
    <row r="1050" spans="1:78" ht="15.75" x14ac:dyDescent="0.25">
      <c r="A1050" s="20"/>
      <c r="B1050" s="47"/>
      <c r="C1050" s="49"/>
      <c r="D1050" s="49"/>
      <c r="E1050" s="49"/>
      <c r="F1050" s="48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8"/>
      <c r="Z1050" s="48"/>
      <c r="AA1050" s="48"/>
      <c r="AB1050" s="48"/>
      <c r="AC1050" s="48"/>
      <c r="AD1050" s="48"/>
      <c r="AE1050" s="48"/>
      <c r="AF1050" s="48"/>
      <c r="AG1050" s="48"/>
      <c r="AH1050" s="48"/>
      <c r="AI1050" s="48"/>
      <c r="AJ1050" s="48"/>
      <c r="AK1050" s="48"/>
      <c r="AL1050" s="48"/>
      <c r="AM1050" s="48"/>
      <c r="AN1050" s="48"/>
      <c r="AO1050" s="48"/>
      <c r="AP1050" s="48"/>
      <c r="AQ1050" s="48"/>
      <c r="AR1050" s="48"/>
      <c r="AS1050" s="48"/>
      <c r="AT1050" s="48"/>
      <c r="AU1050" s="48"/>
      <c r="AV1050" s="48"/>
      <c r="AW1050" s="48"/>
      <c r="AX1050" s="48"/>
      <c r="AY1050" s="48"/>
      <c r="AZ1050" s="48"/>
      <c r="BA1050" s="48"/>
      <c r="BB1050" s="48"/>
      <c r="BC1050" s="48"/>
      <c r="BD1050" s="48"/>
      <c r="BE1050" s="48"/>
      <c r="BF1050" s="48"/>
      <c r="BG1050" s="48"/>
      <c r="BH1050" s="48"/>
      <c r="BI1050" s="48"/>
      <c r="BJ1050" s="48"/>
      <c r="BK1050" s="48"/>
      <c r="BL1050" s="48"/>
      <c r="BM1050" s="48"/>
      <c r="BN1050" s="48"/>
      <c r="BO1050" s="48"/>
      <c r="BP1050" s="48"/>
      <c r="BQ1050" s="48"/>
      <c r="BR1050" s="48"/>
      <c r="BS1050" s="48"/>
      <c r="BT1050" s="48"/>
      <c r="BU1050" s="48"/>
      <c r="BV1050" s="48"/>
      <c r="BW1050" s="48"/>
      <c r="BX1050" s="48"/>
      <c r="BY1050" s="48"/>
      <c r="BZ1050" s="48"/>
    </row>
    <row r="1051" spans="1:78" ht="15.75" x14ac:dyDescent="0.25">
      <c r="A1051" s="20"/>
      <c r="B1051" s="47"/>
      <c r="C1051" s="49"/>
      <c r="D1051" s="49"/>
      <c r="E1051" s="49"/>
      <c r="F1051" s="48"/>
      <c r="G1051" s="42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8"/>
      <c r="Z1051" s="48"/>
      <c r="AA1051" s="48"/>
      <c r="AB1051" s="48"/>
      <c r="AC1051" s="48"/>
      <c r="AD1051" s="48"/>
      <c r="AE1051" s="48"/>
      <c r="AF1051" s="48"/>
      <c r="AG1051" s="48"/>
      <c r="AH1051" s="48"/>
      <c r="AI1051" s="48"/>
      <c r="AJ1051" s="48"/>
      <c r="AK1051" s="48"/>
      <c r="AL1051" s="48"/>
      <c r="AM1051" s="48"/>
      <c r="AN1051" s="48"/>
      <c r="AO1051" s="48"/>
      <c r="AP1051" s="48"/>
      <c r="AQ1051" s="48"/>
      <c r="AR1051" s="48"/>
      <c r="AS1051" s="48"/>
      <c r="AT1051" s="48"/>
      <c r="AU1051" s="48"/>
      <c r="AV1051" s="48"/>
      <c r="AW1051" s="48"/>
      <c r="AX1051" s="48"/>
      <c r="AY1051" s="48"/>
      <c r="AZ1051" s="48"/>
      <c r="BA1051" s="48"/>
      <c r="BB1051" s="48"/>
      <c r="BC1051" s="48"/>
      <c r="BD1051" s="48"/>
      <c r="BE1051" s="48"/>
      <c r="BF1051" s="48"/>
      <c r="BG1051" s="48"/>
      <c r="BH1051" s="48"/>
      <c r="BI1051" s="48"/>
      <c r="BJ1051" s="48"/>
      <c r="BK1051" s="48"/>
      <c r="BL1051" s="48"/>
      <c r="BM1051" s="48"/>
      <c r="BN1051" s="48"/>
      <c r="BO1051" s="48"/>
      <c r="BP1051" s="48"/>
      <c r="BQ1051" s="48"/>
      <c r="BR1051" s="48"/>
      <c r="BS1051" s="48"/>
      <c r="BT1051" s="48"/>
      <c r="BU1051" s="48"/>
      <c r="BV1051" s="48"/>
      <c r="BW1051" s="48"/>
      <c r="BX1051" s="48"/>
      <c r="BY1051" s="48"/>
      <c r="BZ1051" s="48"/>
    </row>
    <row r="1052" spans="1:78" ht="15.75" x14ac:dyDescent="0.25">
      <c r="A1052" s="20"/>
      <c r="B1052" s="47"/>
      <c r="C1052" s="49"/>
      <c r="D1052" s="49"/>
      <c r="E1052" s="49"/>
      <c r="F1052" s="48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8"/>
      <c r="Z1052" s="48"/>
      <c r="AA1052" s="48"/>
      <c r="AB1052" s="48"/>
      <c r="AC1052" s="48"/>
      <c r="AD1052" s="48"/>
      <c r="AE1052" s="48"/>
      <c r="AF1052" s="48"/>
      <c r="AG1052" s="48"/>
      <c r="AH1052" s="48"/>
      <c r="AI1052" s="48"/>
      <c r="AJ1052" s="48"/>
      <c r="AK1052" s="48"/>
      <c r="AL1052" s="48"/>
      <c r="AM1052" s="48"/>
      <c r="AN1052" s="48"/>
      <c r="AO1052" s="48"/>
      <c r="AP1052" s="48"/>
      <c r="AQ1052" s="48"/>
      <c r="AR1052" s="48"/>
      <c r="AS1052" s="48"/>
      <c r="AT1052" s="48"/>
      <c r="AU1052" s="48"/>
      <c r="AV1052" s="48"/>
      <c r="AW1052" s="48"/>
      <c r="AX1052" s="48"/>
      <c r="AY1052" s="48"/>
      <c r="AZ1052" s="48"/>
      <c r="BA1052" s="48"/>
      <c r="BB1052" s="48"/>
      <c r="BC1052" s="48"/>
      <c r="BD1052" s="48"/>
      <c r="BE1052" s="48"/>
      <c r="BF1052" s="48"/>
      <c r="BG1052" s="48"/>
      <c r="BH1052" s="48"/>
      <c r="BI1052" s="48"/>
      <c r="BJ1052" s="48"/>
      <c r="BK1052" s="48"/>
      <c r="BL1052" s="48"/>
      <c r="BM1052" s="48"/>
      <c r="BN1052" s="48"/>
      <c r="BO1052" s="48"/>
      <c r="BP1052" s="48"/>
      <c r="BQ1052" s="48"/>
      <c r="BR1052" s="48"/>
      <c r="BS1052" s="48"/>
      <c r="BT1052" s="48"/>
      <c r="BU1052" s="48"/>
      <c r="BV1052" s="48"/>
      <c r="BW1052" s="48"/>
      <c r="BX1052" s="48"/>
      <c r="BY1052" s="48"/>
      <c r="BZ1052" s="48"/>
    </row>
    <row r="1053" spans="1:78" ht="15.75" x14ac:dyDescent="0.25">
      <c r="A1053" s="20"/>
      <c r="B1053" s="47"/>
      <c r="C1053" s="49"/>
      <c r="D1053" s="49"/>
      <c r="E1053" s="49"/>
      <c r="F1053" s="48"/>
      <c r="G1053" s="42"/>
      <c r="H1053" s="42"/>
      <c r="I1053" s="42"/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8"/>
      <c r="Z1053" s="48"/>
      <c r="AA1053" s="48"/>
      <c r="AB1053" s="48"/>
      <c r="AC1053" s="48"/>
      <c r="AD1053" s="48"/>
      <c r="AE1053" s="48"/>
      <c r="AF1053" s="48"/>
      <c r="AG1053" s="48"/>
      <c r="AH1053" s="48"/>
      <c r="AI1053" s="48"/>
      <c r="AJ1053" s="48"/>
      <c r="AK1053" s="48"/>
      <c r="AL1053" s="48"/>
      <c r="AM1053" s="48"/>
      <c r="AN1053" s="48"/>
      <c r="AO1053" s="48"/>
      <c r="AP1053" s="48"/>
      <c r="AQ1053" s="48"/>
      <c r="AR1053" s="48"/>
      <c r="AS1053" s="48"/>
      <c r="AT1053" s="48"/>
      <c r="AU1053" s="48"/>
      <c r="AV1053" s="48"/>
      <c r="AW1053" s="48"/>
      <c r="AX1053" s="48"/>
      <c r="AY1053" s="48"/>
      <c r="AZ1053" s="48"/>
      <c r="BA1053" s="48"/>
      <c r="BB1053" s="48"/>
      <c r="BC1053" s="48"/>
      <c r="BD1053" s="48"/>
      <c r="BE1053" s="48"/>
      <c r="BF1053" s="48"/>
      <c r="BG1053" s="48"/>
      <c r="BH1053" s="48"/>
      <c r="BI1053" s="48"/>
      <c r="BJ1053" s="48"/>
      <c r="BK1053" s="48"/>
      <c r="BL1053" s="48"/>
      <c r="BM1053" s="48"/>
      <c r="BN1053" s="48"/>
      <c r="BO1053" s="48"/>
      <c r="BP1053" s="48"/>
      <c r="BQ1053" s="48"/>
      <c r="BR1053" s="48"/>
      <c r="BS1053" s="48"/>
      <c r="BT1053" s="48"/>
      <c r="BU1053" s="48"/>
      <c r="BV1053" s="48"/>
      <c r="BW1053" s="48"/>
      <c r="BX1053" s="48"/>
      <c r="BY1053" s="48"/>
      <c r="BZ1053" s="48"/>
    </row>
    <row r="1054" spans="1:78" ht="15.75" x14ac:dyDescent="0.25">
      <c r="A1054" s="20"/>
      <c r="B1054" s="47"/>
      <c r="C1054" s="49"/>
      <c r="D1054" s="49"/>
      <c r="E1054" s="49"/>
      <c r="F1054" s="48"/>
      <c r="G1054" s="42"/>
      <c r="H1054" s="42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8"/>
      <c r="Z1054" s="48"/>
      <c r="AA1054" s="48"/>
      <c r="AB1054" s="48"/>
      <c r="AC1054" s="48"/>
      <c r="AD1054" s="48"/>
      <c r="AE1054" s="48"/>
      <c r="AF1054" s="48"/>
      <c r="AG1054" s="48"/>
      <c r="AH1054" s="48"/>
      <c r="AI1054" s="48"/>
      <c r="AJ1054" s="48"/>
      <c r="AK1054" s="48"/>
      <c r="AL1054" s="48"/>
      <c r="AM1054" s="48"/>
      <c r="AN1054" s="48"/>
      <c r="AO1054" s="48"/>
      <c r="AP1054" s="48"/>
      <c r="AQ1054" s="48"/>
      <c r="AR1054" s="48"/>
      <c r="AS1054" s="48"/>
      <c r="AT1054" s="48"/>
      <c r="AU1054" s="48"/>
      <c r="AV1054" s="48"/>
      <c r="AW1054" s="48"/>
      <c r="AX1054" s="48"/>
      <c r="AY1054" s="48"/>
      <c r="AZ1054" s="48"/>
      <c r="BA1054" s="48"/>
      <c r="BB1054" s="48"/>
      <c r="BC1054" s="48"/>
      <c r="BD1054" s="48"/>
      <c r="BE1054" s="48"/>
      <c r="BF1054" s="48"/>
      <c r="BG1054" s="48"/>
      <c r="BH1054" s="48"/>
      <c r="BI1054" s="48"/>
      <c r="BJ1054" s="48"/>
      <c r="BK1054" s="48"/>
      <c r="BL1054" s="48"/>
      <c r="BM1054" s="48"/>
      <c r="BN1054" s="48"/>
      <c r="BO1054" s="48"/>
      <c r="BP1054" s="48"/>
      <c r="BQ1054" s="48"/>
      <c r="BR1054" s="48"/>
      <c r="BS1054" s="48"/>
      <c r="BT1054" s="48"/>
      <c r="BU1054" s="48"/>
      <c r="BV1054" s="48"/>
      <c r="BW1054" s="48"/>
      <c r="BX1054" s="48"/>
      <c r="BY1054" s="48"/>
      <c r="BZ1054" s="48"/>
    </row>
    <row r="1055" spans="1:78" ht="15.75" x14ac:dyDescent="0.25">
      <c r="A1055" s="20"/>
      <c r="B1055" s="47"/>
      <c r="C1055" s="49"/>
      <c r="D1055" s="49"/>
      <c r="E1055" s="49"/>
      <c r="F1055" s="48"/>
      <c r="G1055" s="42"/>
      <c r="H1055" s="42"/>
      <c r="I1055" s="42"/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8"/>
      <c r="Z1055" s="48"/>
      <c r="AA1055" s="48"/>
      <c r="AB1055" s="48"/>
      <c r="AC1055" s="48"/>
      <c r="AD1055" s="48"/>
      <c r="AE1055" s="48"/>
      <c r="AF1055" s="48"/>
      <c r="AG1055" s="48"/>
      <c r="AH1055" s="48"/>
      <c r="AI1055" s="48"/>
      <c r="AJ1055" s="48"/>
      <c r="AK1055" s="48"/>
      <c r="AL1055" s="48"/>
      <c r="AM1055" s="48"/>
      <c r="AN1055" s="48"/>
      <c r="AO1055" s="48"/>
      <c r="AP1055" s="48"/>
      <c r="AQ1055" s="48"/>
      <c r="AR1055" s="48"/>
      <c r="AS1055" s="48"/>
      <c r="AT1055" s="48"/>
      <c r="AU1055" s="48"/>
      <c r="AV1055" s="48"/>
      <c r="AW1055" s="48"/>
      <c r="AX1055" s="48"/>
      <c r="AY1055" s="48"/>
      <c r="AZ1055" s="48"/>
      <c r="BA1055" s="48"/>
      <c r="BB1055" s="48"/>
      <c r="BC1055" s="48"/>
      <c r="BD1055" s="48"/>
      <c r="BE1055" s="48"/>
      <c r="BF1055" s="48"/>
      <c r="BG1055" s="48"/>
      <c r="BH1055" s="48"/>
      <c r="BI1055" s="48"/>
      <c r="BJ1055" s="48"/>
      <c r="BK1055" s="48"/>
      <c r="BL1055" s="48"/>
      <c r="BM1055" s="48"/>
      <c r="BN1055" s="48"/>
      <c r="BO1055" s="48"/>
      <c r="BP1055" s="48"/>
      <c r="BQ1055" s="48"/>
      <c r="BR1055" s="48"/>
      <c r="BS1055" s="48"/>
      <c r="BT1055" s="48"/>
      <c r="BU1055" s="48"/>
      <c r="BV1055" s="48"/>
      <c r="BW1055" s="48"/>
      <c r="BX1055" s="48"/>
      <c r="BY1055" s="48"/>
      <c r="BZ1055" s="48"/>
    </row>
  </sheetData>
  <phoneticPr fontId="12" type="noConversion"/>
  <conditionalFormatting sqref="C6:E6">
    <cfRule type="cellIs" dxfId="14" priority="1" operator="lessThan">
      <formula>0</formula>
    </cfRule>
  </conditionalFormatting>
  <conditionalFormatting sqref="C22:E22">
    <cfRule type="cellIs" dxfId="13" priority="28" operator="greaterThan">
      <formula>"SI(0,30*$C$8)"</formula>
    </cfRule>
    <cfRule type="cellIs" dxfId="12" priority="29" operator="greaterThan">
      <formula>".30*$C$8"</formula>
    </cfRule>
    <cfRule type="cellIs" dxfId="11" priority="30" operator="greaterThan">
      <formula>"30%$C$8"</formula>
    </cfRule>
  </conditionalFormatting>
  <conditionalFormatting sqref="C4:F4">
    <cfRule type="cellIs" dxfId="10" priority="4" operator="lessThan">
      <formula>0</formula>
    </cfRule>
  </conditionalFormatting>
  <conditionalFormatting sqref="C46:F46">
    <cfRule type="cellIs" dxfId="9" priority="6" operator="lessThan">
      <formula>0</formula>
    </cfRule>
  </conditionalFormatting>
  <conditionalFormatting sqref="F13">
    <cfRule type="cellIs" dxfId="8" priority="24" operator="greaterThan">
      <formula>0.1</formula>
    </cfRule>
    <cfRule type="cellIs" dxfId="7" priority="25" operator="greaterThan">
      <formula>0.1</formula>
    </cfRule>
    <cfRule type="cellIs" dxfId="6" priority="27" operator="lessThan">
      <formula>0.1</formula>
    </cfRule>
  </conditionalFormatting>
  <conditionalFormatting sqref="F15">
    <cfRule type="cellIs" dxfId="5" priority="13" operator="greaterThan">
      <formula>0.3</formula>
    </cfRule>
  </conditionalFormatting>
  <conditionalFormatting sqref="F22">
    <cfRule type="cellIs" dxfId="4" priority="12" operator="greaterThan">
      <formula>0.4</formula>
    </cfRule>
    <cfRule type="cellIs" dxfId="3" priority="23" operator="greaterThan">
      <formula>0.5</formula>
    </cfRule>
  </conditionalFormatting>
  <conditionalFormatting sqref="F35">
    <cfRule type="cellIs" dxfId="2" priority="10" operator="greaterThan">
      <formula>0.4</formula>
    </cfRule>
  </conditionalFormatting>
  <conditionalFormatting sqref="F41">
    <cfRule type="cellIs" dxfId="1" priority="8" operator="greaterThan">
      <formula>0.1</formula>
    </cfRule>
  </conditionalFormatting>
  <conditionalFormatting sqref="F61">
    <cfRule type="cellIs" dxfId="0" priority="15" operator="greaterThan">
      <formula>0.3</formula>
    </cfRule>
  </conditionalFormatting>
  <hyperlinks>
    <hyperlink ref="B1" r:id="rId1" xr:uid="{00000000-0004-0000-0000-000000000000}"/>
  </hyperlinks>
  <pageMargins left="0" right="0" top="0.75000000000000011" bottom="0.75000000000000011" header="0.30000000000000004" footer="0.30000000000000004"/>
  <pageSetup scale="62" orientation="portrait" horizontalDpi="0" verticalDpi="0" r:id="rId2"/>
  <ignoredErrors>
    <ignoredError sqref="D6" unlockedFormula="1"/>
  </ignoredError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</vt:lpstr>
      <vt:lpstr>Presupuesto!Área_de_impresión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Karolay Paola Aguas Hernández</cp:lastModifiedBy>
  <cp:lastPrinted>2024-11-29T18:39:52Z</cp:lastPrinted>
  <dcterms:created xsi:type="dcterms:W3CDTF">2018-10-10T14:10:32Z</dcterms:created>
  <dcterms:modified xsi:type="dcterms:W3CDTF">2024-11-29T19:01:38Z</dcterms:modified>
</cp:coreProperties>
</file>